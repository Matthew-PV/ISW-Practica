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56.xml" ContentType="application/vnd.openxmlformats-officedocument.spreadsheetml.worksheet+xml"/>
  <Override PartName="/xl/worksheets/sheet53.xml" ContentType="application/vnd.openxmlformats-officedocument.spreadsheetml.worksheet+xml"/>
  <Override PartName="/xl/worksheets/sheet52.xml" ContentType="application/vnd.openxmlformats-officedocument.spreadsheetml.worksheet+xml"/>
  <Override PartName="/xl/worksheets/sheet50.xml" ContentType="application/vnd.openxmlformats-officedocument.spreadsheetml.worksheet+xml"/>
  <Override PartName="/xl/worksheets/sheet49.xml" ContentType="application/vnd.openxmlformats-officedocument.spreadsheetml.worksheet+xml"/>
  <Override PartName="/xl/worksheets/sheet24.xml" ContentType="application/vnd.openxmlformats-officedocument.spreadsheetml.worksheet+xml"/>
  <Override PartName="/xl/worksheets/sheet36.xml" ContentType="application/vnd.openxmlformats-officedocument.spreadsheetml.worksheet+xml"/>
  <Override PartName="/xl/worksheets/sheet44.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45.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7.xml" ContentType="application/vnd.openxmlformats-officedocument.spreadsheetml.worksheet+xml"/>
  <Override PartName="/xl/worksheets/sheet62.xml" ContentType="application/vnd.openxmlformats-officedocument.spreadsheetml.worksheet+xml"/>
  <Override PartName="/xl/worksheets/sheet57.xml" ContentType="application/vnd.openxmlformats-officedocument.spreadsheetml.worksheet+xml"/>
  <Override PartName="/xl/worksheets/sheet2.xml" ContentType="application/vnd.openxmlformats-officedocument.spreadsheetml.worksheet+xml"/>
  <Override PartName="/xl/worksheets/sheet51.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58.xml" ContentType="application/vnd.openxmlformats-officedocument.spreadsheetml.worksheet+xml"/>
  <Override PartName="/xl/worksheets/sheet55.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6.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48.xml" ContentType="application/vnd.openxmlformats-officedocument.spreadsheetml.worksheet+xml"/>
  <Override PartName="/xl/worksheets/sheet14.xml" ContentType="application/vnd.openxmlformats-officedocument.spreadsheetml.worksheet+xml"/>
  <Override PartName="/xl/worksheets/sheet29.xml" ContentType="application/vnd.openxmlformats-officedocument.spreadsheetml.worksheet+xml"/>
  <Override PartName="/xl/worksheets/sheet54.xml" ContentType="application/vnd.openxmlformats-officedocument.spreadsheetml.worksheet+xml"/>
  <Override PartName="/xl/worksheets/sheet64.xml" ContentType="application/vnd.openxmlformats-officedocument.spreadsheetml.worksheet+xml"/>
  <Override PartName="/xl/worksheets/sheet17.xml" ContentType="application/vnd.openxmlformats-officedocument.spreadsheetml.worksheet+xml"/>
  <Override PartName="/xl/worksheets/sheet63.xml" ContentType="application/vnd.openxmlformats-officedocument.spreadsheetml.worksheet+xml"/>
  <Override PartName="/xl/worksheets/sheet43.xml" ContentType="application/vnd.openxmlformats-officedocument.spreadsheetml.worksheet+xml"/>
  <Override PartName="/xl/worksheets/sheet59.xml" ContentType="application/vnd.openxmlformats-officedocument.spreadsheetml.worksheet+xml"/>
  <Override PartName="/xl/worksheets/sheet61.xml" ContentType="application/vnd.openxmlformats-officedocument.spreadsheetml.worksheet+xml"/>
  <Override PartName="/xl/worksheets/sheet60.xml" ContentType="application/vnd.openxmlformats-officedocument.spreadsheetml.worksheet+xml"/>
  <Override PartName="/xl/worksheets/sheet28.xml" ContentType="application/vnd.openxmlformats-officedocument.spreadsheetml.worksheet+xml"/>
  <Override PartName="/xl/worksheets/sheet40.xml" ContentType="application/vnd.openxmlformats-officedocument.spreadsheetml.worksheet+xml"/>
  <Override PartName="/xl/worksheets/sheet27.xml" ContentType="application/vnd.openxmlformats-officedocument.spreadsheetml.worksheet+xml"/>
  <Override PartName="/xl/worksheets/sheet13.xml" ContentType="application/vnd.openxmlformats-officedocument.spreadsheetml.worksheet+xml"/>
  <Override PartName="/xl/worksheets/sheet35.xml" ContentType="application/vnd.openxmlformats-officedocument.spreadsheetml.worksheet+xml"/>
  <Override PartName="/xl/worksheets/sheet65.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22.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30.xml" ContentType="application/vnd.openxmlformats-officedocument.spreadsheetml.worksheet+xml"/>
  <Override PartName="/xl/worksheets/sheet34.xml" ContentType="application/vnd.openxmlformats-officedocument.spreadsheetml.worksheet+xml"/>
  <Override PartName="/xl/worksheets/sheet31.xml" ContentType="application/vnd.openxmlformats-officedocument.spreadsheetml.worksheet+xml"/>
  <Override PartName="/xl/worksheets/sheet20.xml" ContentType="application/vnd.openxmlformats-officedocument.spreadsheetml.worksheet+xml"/>
  <Override PartName="/xl/worksheets/sheet6.xml" ContentType="application/vnd.openxmlformats-officedocument.spreadsheetml.worksheet+xml"/>
  <Override PartName="/xl/worksheets/sheet38.xml" ContentType="application/vnd.openxmlformats-officedocument.spreadsheetml.worksheet+xml"/>
  <Override PartName="/xl/worksheets/sheet11.xml" ContentType="application/vnd.openxmlformats-officedocument.spreadsheetml.worksheet+xml"/>
  <Override PartName="/xl/worksheets/sheet33.xml" ContentType="application/vnd.openxmlformats-officedocument.spreadsheetml.worksheet+xml"/>
  <Override PartName="/xl/worksheets/sheet47.xml" ContentType="application/vnd.openxmlformats-officedocument.spreadsheetml.worksheet+xml"/>
  <Override PartName="/xl/worksheets/sheet37.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39.xml" ContentType="application/vnd.openxmlformats-officedocument.spreadsheetml.worksheet+xml"/>
  <Override PartName="/xl/worksheets/sheet4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54.xml" ContentType="application/vnd.openxmlformats-officedocument.spreadsheetml.table+xml"/>
  <Override PartName="/xl/tables/table52.xml" ContentType="application/vnd.openxmlformats-officedocument.spreadsheetml.table+xml"/>
  <Override PartName="/xl/tables/table50.xml" ContentType="application/vnd.openxmlformats-officedocument.spreadsheetml.table+xml"/>
  <Override PartName="/xl/tables/table10.xml" ContentType="application/vnd.openxmlformats-officedocument.spreadsheetml.table+xml"/>
  <Override PartName="/xl/tables/table18.xml" ContentType="application/vnd.openxmlformats-officedocument.spreadsheetml.table+xml"/>
  <Override PartName="/xl/tables/table2.xml" ContentType="application/vnd.openxmlformats-officedocument.spreadsheetml.table+xml"/>
  <Override PartName="/xl/tables/table29.xml" ContentType="application/vnd.openxmlformats-officedocument.spreadsheetml.table+xml"/>
  <Override PartName="/xl/tables/table1.xml" ContentType="application/vnd.openxmlformats-officedocument.spreadsheetml.table+xml"/>
  <Override PartName="/xl/tables/table58.xml" ContentType="application/vnd.openxmlformats-officedocument.spreadsheetml.table+xml"/>
  <Override PartName="/xl/tables/table15.xml" ContentType="application/vnd.openxmlformats-officedocument.spreadsheetml.table+xml"/>
  <Override PartName="/xl/tables/table64.xml" ContentType="application/vnd.openxmlformats-officedocument.spreadsheetml.table+xml"/>
  <Override PartName="/xl/tables/table36.xml" ContentType="application/vnd.openxmlformats-officedocument.spreadsheetml.table+xml"/>
  <Override PartName="/xl/tables/table57.xml" ContentType="application/vnd.openxmlformats-officedocument.spreadsheetml.table+xml"/>
  <Override PartName="/xl/tables/table23.xml" ContentType="application/vnd.openxmlformats-officedocument.spreadsheetml.table+xml"/>
  <Override PartName="/xl/tables/table56.xml" ContentType="application/vnd.openxmlformats-officedocument.spreadsheetml.table+xml"/>
  <Override PartName="/xl/tables/table66.xml" ContentType="application/vnd.openxmlformats-officedocument.spreadsheetml.table+xml"/>
  <Override PartName="/xl/tables/table65.xml" ContentType="application/vnd.openxmlformats-officedocument.spreadsheetml.table+xml"/>
  <Override PartName="/xl/tables/table39.xml" ContentType="application/vnd.openxmlformats-officedocument.spreadsheetml.table+xml"/>
  <Override PartName="/xl/tables/table13.xml" ContentType="application/vnd.openxmlformats-officedocument.spreadsheetml.table+xml"/>
  <Override PartName="/xl/tables/table59.xml" ContentType="application/vnd.openxmlformats-officedocument.spreadsheetml.table+xml"/>
  <Override PartName="/xl/tables/table53.xml" ContentType="application/vnd.openxmlformats-officedocument.spreadsheetml.table+xml"/>
  <Override PartName="/xl/tables/table62.xml" ContentType="application/vnd.openxmlformats-officedocument.spreadsheetml.table+xml"/>
  <Override PartName="/xl/tables/table16.xml" ContentType="application/vnd.openxmlformats-officedocument.spreadsheetml.table+xml"/>
  <Override PartName="/xl/tables/table63.xml" ContentType="application/vnd.openxmlformats-officedocument.spreadsheetml.table+xml"/>
  <Override PartName="/xl/tables/table26.xml" ContentType="application/vnd.openxmlformats-officedocument.spreadsheetml.table+xml"/>
  <Override PartName="/xl/tables/table14.xml" ContentType="application/vnd.openxmlformats-officedocument.spreadsheetml.table+xml"/>
  <Override PartName="/xl/tables/table61.xml" ContentType="application/vnd.openxmlformats-officedocument.spreadsheetml.table+xml"/>
  <Override PartName="/xl/tables/table28.xml" ContentType="application/vnd.openxmlformats-officedocument.spreadsheetml.table+xml"/>
  <Override PartName="/xl/tables/table35.xml" ContentType="application/vnd.openxmlformats-officedocument.spreadsheetml.table+xml"/>
  <Override PartName="/xl/tables/table60.xml" ContentType="application/vnd.openxmlformats-officedocument.spreadsheetml.table+xml"/>
  <Override PartName="/xl/tables/table37.xml" ContentType="application/vnd.openxmlformats-officedocument.spreadsheetml.table+xml"/>
  <Override PartName="/xl/tables/table51.xml" ContentType="application/vnd.openxmlformats-officedocument.spreadsheetml.table+xml"/>
  <Override PartName="/xl/tables/table27.xml" ContentType="application/vnd.openxmlformats-officedocument.spreadsheetml.table+xml"/>
  <Override PartName="/xl/tables/table20.xml" ContentType="application/vnd.openxmlformats-officedocument.spreadsheetml.table+xml"/>
  <Override PartName="/xl/tables/table44.xml" ContentType="application/vnd.openxmlformats-officedocument.spreadsheetml.table+xml"/>
  <Override PartName="/xl/tables/table55.xml" ContentType="application/vnd.openxmlformats-officedocument.spreadsheetml.table+xml"/>
  <Override PartName="/xl/tables/table49.xml" ContentType="application/vnd.openxmlformats-officedocument.spreadsheetml.table+xml"/>
  <Override PartName="/xl/tables/table24.xml" ContentType="application/vnd.openxmlformats-officedocument.spreadsheetml.table+xml"/>
  <Override PartName="/xl/tables/table3.xml" ContentType="application/vnd.openxmlformats-officedocument.spreadsheetml.table+xml"/>
  <Override PartName="/xl/tables/table38.xml" ContentType="application/vnd.openxmlformats-officedocument.spreadsheetml.table+xml"/>
  <Override PartName="/xl/tables/table19.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32.xml" ContentType="application/vnd.openxmlformats-officedocument.spreadsheetml.table+xml"/>
  <Override PartName="/xl/tables/table45.xml" ContentType="application/vnd.openxmlformats-officedocument.spreadsheetml.table+xml"/>
  <Override PartName="/xl/tables/table12.xml" ContentType="application/vnd.openxmlformats-officedocument.spreadsheetml.table+xml"/>
  <Override PartName="/xl/tables/table22.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47.xml" ContentType="application/vnd.openxmlformats-officedocument.spreadsheetml.table+xml"/>
  <Override PartName="/xl/tables/table11.xml" ContentType="application/vnd.openxmlformats-officedocument.spreadsheetml.table+xml"/>
  <Override PartName="/xl/tables/table48.xml" ContentType="application/vnd.openxmlformats-officedocument.spreadsheetml.table+xml"/>
  <Override PartName="/xl/tables/table25.xml" ContentType="application/vnd.openxmlformats-officedocument.spreadsheetml.table+xml"/>
  <Override PartName="/xl/tables/table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21.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40.xml" ContentType="application/vnd.openxmlformats-officedocument.spreadsheetml.table+xml"/>
  <Override PartName="/xl/tables/table17.xml" ContentType="application/vnd.openxmlformats-officedocument.spreadsheetml.table+xml"/>
  <Override PartName="/xl/tables/table8.xml" ContentType="application/vnd.openxmlformats-officedocument.spreadsheetml.table+xml"/>
  <Override PartName="/xl/tables/table41.xml" ContentType="application/vnd.openxmlformats-officedocument.spreadsheetml.table+xml"/>
  <Override PartName="/xl/tables/table43.xml" ContentType="application/vnd.openxmlformats-officedocument.spreadsheetml.table+xml"/>
  <Override PartName="/xl/tables/table42.xml" ContentType="application/vnd.openxmlformats-officedocument.spreadsheetml.table+xml"/>
  <Override PartName="/xl/tables/table4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63"/>
  </bookViews>
  <sheets>
    <sheet name="Índice" sheetId="1" state="visible" r:id="rId3"/>
    <sheet name="CS-01" sheetId="2" state="visible" r:id="rId4"/>
    <sheet name="CS-02" sheetId="3" state="visible" r:id="rId5"/>
    <sheet name="CS-03" sheetId="4" state="visible" r:id="rId6"/>
    <sheet name="CS-04" sheetId="5" state="visible" r:id="rId7"/>
    <sheet name="CS-05" sheetId="6" state="visible" r:id="rId8"/>
    <sheet name="CS-06" sheetId="7" state="visible" r:id="rId9"/>
    <sheet name="CS-07" sheetId="8" state="visible" r:id="rId10"/>
    <sheet name="CS-08" sheetId="9" state="visible" r:id="rId11"/>
    <sheet name="CS-09" sheetId="10" state="visible" r:id="rId12"/>
    <sheet name="CS-10" sheetId="11" state="visible" r:id="rId13"/>
    <sheet name="CS-11" sheetId="12" state="visible" r:id="rId14"/>
    <sheet name="CS-12" sheetId="13" state="visible" r:id="rId15"/>
    <sheet name="CS-13" sheetId="14" state="visible" r:id="rId16"/>
    <sheet name="CS-14" sheetId="15" state="visible" r:id="rId17"/>
    <sheet name="CS-15" sheetId="16" state="visible" r:id="rId18"/>
    <sheet name="CS-16" sheetId="17" state="visible" r:id="rId19"/>
    <sheet name="CS-17" sheetId="18" state="visible" r:id="rId20"/>
    <sheet name="CS-18" sheetId="19" state="visible" r:id="rId21"/>
    <sheet name="CS-19" sheetId="20" state="visible" r:id="rId22"/>
    <sheet name="CS-20" sheetId="21" state="visible" r:id="rId23"/>
    <sheet name="CS-21" sheetId="22" state="visible" r:id="rId24"/>
    <sheet name="CS-22" sheetId="23" state="visible" r:id="rId25"/>
    <sheet name="CS-23" sheetId="24" state="visible" r:id="rId26"/>
    <sheet name="CS-24" sheetId="25" state="visible" r:id="rId27"/>
    <sheet name="CS-25" sheetId="26" state="visible" r:id="rId28"/>
    <sheet name="CS-26" sheetId="27" state="visible" r:id="rId29"/>
    <sheet name="CS-27" sheetId="28" state="visible" r:id="rId30"/>
    <sheet name="CS-28" sheetId="29" state="visible" r:id="rId31"/>
    <sheet name="CS-29" sheetId="30" state="visible" r:id="rId32"/>
    <sheet name="CS-30" sheetId="31" state="visible" r:id="rId33"/>
    <sheet name="CS-31" sheetId="32" state="visible" r:id="rId34"/>
    <sheet name="CS-32" sheetId="33" state="visible" r:id="rId35"/>
    <sheet name="CS-33" sheetId="34" state="visible" r:id="rId36"/>
    <sheet name="CS-34" sheetId="35" state="visible" r:id="rId37"/>
    <sheet name="CS-35" sheetId="36" state="visible" r:id="rId38"/>
    <sheet name="CS-36" sheetId="37" state="visible" r:id="rId39"/>
    <sheet name="CS-37" sheetId="38" state="visible" r:id="rId40"/>
    <sheet name="CS-38" sheetId="39" state="visible" r:id="rId41"/>
    <sheet name="CS-39" sheetId="40" state="visible" r:id="rId42"/>
    <sheet name="CS-40" sheetId="41" state="visible" r:id="rId43"/>
    <sheet name="CS-41" sheetId="42" state="visible" r:id="rId44"/>
    <sheet name="CS-42" sheetId="43" state="visible" r:id="rId45"/>
    <sheet name="CS-43" sheetId="44" state="visible" r:id="rId46"/>
    <sheet name="CS-44" sheetId="45" state="visible" r:id="rId47"/>
    <sheet name="CS-45" sheetId="46" state="visible" r:id="rId48"/>
    <sheet name="CS-46" sheetId="47" state="visible" r:id="rId49"/>
    <sheet name="CS-47" sheetId="48" state="visible" r:id="rId50"/>
    <sheet name="CS-48" sheetId="49" state="visible" r:id="rId51"/>
    <sheet name="CS-49" sheetId="50" state="visible" r:id="rId52"/>
    <sheet name="CS-50" sheetId="51" state="visible" r:id="rId53"/>
    <sheet name="CS-51" sheetId="52" state="visible" r:id="rId54"/>
    <sheet name="CS-52" sheetId="53" state="visible" r:id="rId55"/>
    <sheet name="CS-53" sheetId="54" state="visible" r:id="rId56"/>
    <sheet name="CS-54" sheetId="55" state="visible" r:id="rId57"/>
    <sheet name="CS-55" sheetId="56" state="visible" r:id="rId58"/>
    <sheet name="CS-56" sheetId="57" state="visible" r:id="rId59"/>
    <sheet name="CS-57" sheetId="58" state="visible" r:id="rId60"/>
    <sheet name="CS-58" sheetId="59" state="visible" r:id="rId61"/>
    <sheet name="CS-59" sheetId="60" state="visible" r:id="rId62"/>
    <sheet name="CS-60" sheetId="61" state="visible" r:id="rId63"/>
    <sheet name="CS-61" sheetId="62" state="visible" r:id="rId64"/>
    <sheet name="CS-62" sheetId="63" state="visible" r:id="rId65"/>
    <sheet name="CS-63" sheetId="64" state="visible" r:id="rId66"/>
    <sheet name="CS-64" sheetId="65" state="visible" r:id="rId67"/>
    <sheet name="Plantilla" sheetId="66" state="visible" r:id="rId6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<sst xmlns="http://schemas.openxmlformats.org/spreadsheetml/2006/main" count="1978" uniqueCount="409">
  <si>
    <t xml:space="preserve">Customer Stories · PlanB</t>
  </si>
  <si>
    <t xml:space="preserve">Próxima ref.</t>
  </si>
  <si>
    <t xml:space="preserve">Nueva story: escribe su título en la fila vacía de debajo de la tabla y pulsa «Crear páginas»; se rellenan su referencia y su página. Riesgo, Prioridad y Tiempo estimado (horas) se editan aquí; Tiempo total y Estado se calculan solos a partir de los objetivos de cada página.</t>
  </si>
  <si>
    <t xml:space="preserve">Ref</t>
  </si>
  <si>
    <t xml:space="preserve">Título</t>
  </si>
  <si>
    <t xml:space="preserve">Riesgo</t>
  </si>
  <si>
    <t xml:space="preserve">Prioridad</t>
  </si>
  <si>
    <t xml:space="preserve">Tiempo estimado</t>
  </si>
  <si>
    <t xml:space="preserve">Tiempo total</t>
  </si>
  <si>
    <t xml:space="preserve">Estado</t>
  </si>
  <si>
    <t xml:space="preserve">CS-01</t>
  </si>
  <si>
    <t xml:space="preserve">VALORAR UNA EXPERIENCIA</t>
  </si>
  <si>
    <t xml:space="preserve">CS-02</t>
  </si>
  <si>
    <t xml:space="preserve">COMENTAR Y MARCAR ÚTIL</t>
  </si>
  <si>
    <t xml:space="preserve">CS-03</t>
  </si>
  <si>
    <t xml:space="preserve">SEÑALAR INFORMACIÓN DESACTUALIZADA</t>
  </si>
  <si>
    <t xml:space="preserve">CS-04</t>
  </si>
  <si>
    <t xml:space="preserve">REPORTAR CONTENIDO</t>
  </si>
  <si>
    <t xml:space="preserve">Bajo</t>
  </si>
  <si>
    <t xml:space="preserve">N</t>
  </si>
  <si>
    <t xml:space="preserve">CS-05</t>
  </si>
  <si>
    <t xml:space="preserve">REVISAR REPORTES PENDIENTES</t>
  </si>
  <si>
    <t xml:space="preserve">CS-06</t>
  </si>
  <si>
    <t xml:space="preserve">RETIRAR CONTENIDO Y CERRAR REPORTE</t>
  </si>
  <si>
    <t xml:space="preserve">IM</t>
  </si>
  <si>
    <t xml:space="preserve">CS-07</t>
  </si>
  <si>
    <t xml:space="preserve">AVISOS DE ACTIVIDAD</t>
  </si>
  <si>
    <t xml:space="preserve">CS-08</t>
  </si>
  <si>
    <t xml:space="preserve">CONFIGURAR MIS AVISOS</t>
  </si>
  <si>
    <t xml:space="preserve">CS-09</t>
  </si>
  <si>
    <t xml:space="preserve">NOVEDADES DE AMIGOS</t>
  </si>
  <si>
    <t xml:space="preserve">CS-10</t>
  </si>
  <si>
    <t xml:space="preserve">BÚSQUEDA CON FILTROS COMBINABLES</t>
  </si>
  <si>
    <t xml:space="preserve">Medio</t>
  </si>
  <si>
    <t xml:space="preserve">CS-11</t>
  </si>
  <si>
    <t xml:space="preserve">ORDENACIÓN Y PAGINACIÓN ESTABLE</t>
  </si>
  <si>
    <t xml:space="preserve">I</t>
  </si>
  <si>
    <t xml:space="preserve">CS-12</t>
  </si>
  <si>
    <t xml:space="preserve">AGREGADOS DERIVADOS PARA BÚSQUEDA</t>
  </si>
  <si>
    <t xml:space="preserve">CS-13</t>
  </si>
  <si>
    <t xml:space="preserve">DETECCIÓN DE VALORACIONES SOSPECHOSAS</t>
  </si>
  <si>
    <t xml:space="preserve">M</t>
  </si>
  <si>
    <t xml:space="preserve">CS-14</t>
  </si>
  <si>
    <t xml:space="preserve">RESUMEN DE VALORACIONES DE UNA EXPERIENCIA</t>
  </si>
  <si>
    <t xml:space="preserve">Muy alto</t>
  </si>
  <si>
    <t xml:space="preserve">CS-15</t>
  </si>
  <si>
    <t xml:space="preserve">CICLO DE VIDA DEL AVISO DE DATO OBSOLETO</t>
  </si>
  <si>
    <t xml:space="preserve">CS-16</t>
  </si>
  <si>
    <t xml:space="preserve">OCULTACIÓN PREVENTIVA POR UMBRAL DE REPORTES</t>
  </si>
  <si>
    <t xml:space="preserve">CS-17</t>
  </si>
  <si>
    <t xml:space="preserve">DETECCIÓN AUTOMÁTICA DE PUBLICIDAD ENCUBIERTA</t>
  </si>
  <si>
    <t xml:space="preserve">Alto</t>
  </si>
  <si>
    <t xml:space="preserve">CS-18</t>
  </si>
  <si>
    <t xml:space="preserve">SANCIONES A AUTORES REINCIDENTES</t>
  </si>
  <si>
    <t xml:space="preserve">CS-19</t>
  </si>
  <si>
    <t xml:space="preserve">AVISOS DE MODERACIÓN (RETIRADA Y RESOLUCIÓN)</t>
  </si>
  <si>
    <t xml:space="preserve">CS-20</t>
  </si>
  <si>
    <t xml:space="preserve">AGRUPACIÓN Y LÍMITE DE FRECUENCIA DE AVISOS</t>
  </si>
  <si>
    <t xml:space="preserve">CS-21</t>
  </si>
  <si>
    <t xml:space="preserve">REGISTRO DE DISPOSITIVOS Y PROVEEDOR PUSH</t>
  </si>
  <si>
    <t xml:space="preserve">CS-22</t>
  </si>
  <si>
    <t xml:space="preserve">VISIBILIDAD EXPERIENCIAS</t>
  </si>
  <si>
    <t xml:space="preserve">CS-23</t>
  </si>
  <si>
    <t xml:space="preserve">PESTAÑA DE BÚSQUEDA</t>
  </si>
  <si>
    <t xml:space="preserve">CS-24</t>
  </si>
  <si>
    <t xml:space="preserve">RESULTADO BÚSQUEDA</t>
  </si>
  <si>
    <t xml:space="preserve">CS-25</t>
  </si>
  <si>
    <t xml:space="preserve">VISTA RESUMIDA DE EXPERIENCIA</t>
  </si>
  <si>
    <t xml:space="preserve">CS-26</t>
  </si>
  <si>
    <t xml:space="preserve">BARRA DE BÚSQUEDA</t>
  </si>
  <si>
    <t xml:space="preserve">CS-27</t>
  </si>
  <si>
    <t xml:space="preserve">VISIBILIDAD INICIO</t>
  </si>
  <si>
    <t xml:space="preserve">CS-28</t>
  </si>
  <si>
    <t xml:space="preserve">ORDENACIÓN RESULTADOS</t>
  </si>
  <si>
    <t xml:space="preserve">CS-29</t>
  </si>
  <si>
    <t xml:space="preserve">RECUPERACIÓN DE BORRADORES</t>
  </si>
  <si>
    <t xml:space="preserve">CS-30</t>
  </si>
  <si>
    <t xml:space="preserve">CONTROL DE ACCESO</t>
  </si>
  <si>
    <t xml:space="preserve">CS-31</t>
  </si>
  <si>
    <t xml:space="preserve">FILTRO “EXPERIENCIAS DE AMIGOS”</t>
  </si>
  <si>
    <t xml:space="preserve">CS-32</t>
  </si>
  <si>
    <t xml:space="preserve">VISTA DETALLADA DE EXPERIENCIA</t>
  </si>
  <si>
    <t xml:space="preserve">CS-33</t>
  </si>
  <si>
    <t xml:space="preserve">LIMPIAR BÚSQUEDA</t>
  </si>
  <si>
    <t xml:space="preserve">CS-34</t>
  </si>
  <si>
    <t xml:space="preserve">ESTADOS DE “CARGA”, “SIN RESULTADOS” Y “ERROR”</t>
  </si>
  <si>
    <t xml:space="preserve">CS-35</t>
  </si>
  <si>
    <t xml:space="preserve">CARGA DE RESULTADOS</t>
  </si>
  <si>
    <t xml:space="preserve">CS-36</t>
  </si>
  <si>
    <t xml:space="preserve">ORDENACIÓN POR CERCANÍA</t>
  </si>
  <si>
    <t xml:space="preserve">CS-37</t>
  </si>
  <si>
    <t xml:space="preserve">Compartir una experiencia mediante un enlace</t>
  </si>
  <si>
    <t xml:space="preserve">CS-38</t>
  </si>
  <si>
    <t xml:space="preserve">Compartir mediante otras aplicaciones</t>
  </si>
  <si>
    <t xml:space="preserve">CS-39</t>
  </si>
  <si>
    <t xml:space="preserve">Recomendaciones según la ciudad</t>
  </si>
  <si>
    <t xml:space="preserve">CS-40</t>
  </si>
  <si>
    <t xml:space="preserve">Recomendaciones según mis gustos</t>
  </si>
  <si>
    <t xml:space="preserve">CS-41</t>
  </si>
  <si>
    <t xml:space="preserve">Experiencias similares a las guardadas</t>
  </si>
  <si>
    <t xml:space="preserve">CS-42</t>
  </si>
  <si>
    <t xml:space="preserve">Recomendaciones según mis valoraciones</t>
  </si>
  <si>
    <t xml:space="preserve">CS-43</t>
  </si>
  <si>
    <t xml:space="preserve">MIS GUARDADOS</t>
  </si>
  <si>
    <t xml:space="preserve">CS-44</t>
  </si>
  <si>
    <t xml:space="preserve">MIS EXPERIENCIAS PUBLICADAS EN EL PERFIL</t>
  </si>
  <si>
    <t xml:space="preserve">CS-45</t>
  </si>
  <si>
    <t xml:space="preserve">MI NÚMERO DE AMIGOS Y SEGUIDORES</t>
  </si>
  <si>
    <t xml:space="preserve">CS-46</t>
  </si>
  <si>
    <t xml:space="preserve">MIS CIUDADES</t>
  </si>
  <si>
    <t xml:space="preserve">CS-47</t>
  </si>
  <si>
    <t xml:space="preserve">CREAR MI PERFIL</t>
  </si>
  <si>
    <t xml:space="preserve">CS-48</t>
  </si>
  <si>
    <t xml:space="preserve">VALORACIONES DE MIS AMIGOS Y SEGUIDORES</t>
  </si>
  <si>
    <t xml:space="preserve">CS-49</t>
  </si>
  <si>
    <t xml:space="preserve">CREACIÓN DE EXPERIENCIAS</t>
  </si>
  <si>
    <t xml:space="preserve">Medio bajo</t>
  </si>
  <si>
    <t xml:space="preserve">CS-50</t>
  </si>
  <si>
    <t xml:space="preserve">LUGARES DE LA EXPERIENCIA</t>
  </si>
  <si>
    <t xml:space="preserve">CS-51</t>
  </si>
  <si>
    <t xml:space="preserve">ITINERARIO DE EXPERIENCIAS</t>
  </si>
  <si>
    <t xml:space="preserve">CS-52</t>
  </si>
  <si>
    <t xml:space="preserve">FOTOS Y COMENTARIOS DE LUGARES</t>
  </si>
  <si>
    <t xml:space="preserve">CS-53</t>
  </si>
  <si>
    <t xml:space="preserve">DURACIÓN Y TARIFA DE LA EXPERIENCIA</t>
  </si>
  <si>
    <t xml:space="preserve">CS-54</t>
  </si>
  <si>
    <t xml:space="preserve">EVENTOS DE UN LUGAR</t>
  </si>
  <si>
    <t xml:space="preserve">CS-55</t>
  </si>
  <si>
    <t xml:space="preserve">CATEGORÍA DE LA EXPERIENCIA</t>
  </si>
  <si>
    <t xml:space="preserve">CS-56</t>
  </si>
  <si>
    <t xml:space="preserve">MOMENTO RECOMENDADO DE LA EXPERIENCIA</t>
  </si>
  <si>
    <t xml:space="preserve">CS-57</t>
  </si>
  <si>
    <t xml:space="preserve">EDICIÓN DE EXPERIENCIA</t>
  </si>
  <si>
    <t xml:space="preserve">CS-58</t>
  </si>
  <si>
    <t xml:space="preserve">TRANSPORTE PÚBLICO DE LA EXPERIENCIA</t>
  </si>
  <si>
    <t xml:space="preserve">CS-59</t>
  </si>
  <si>
    <t xml:space="preserve">CREAR UNA CUENTA</t>
  </si>
  <si>
    <t xml:space="preserve">CS-60</t>
  </si>
  <si>
    <t xml:space="preserve">METODOLOGÍA</t>
  </si>
  <si>
    <t xml:space="preserve">CS-61</t>
  </si>
  <si>
    <t xml:space="preserve">AMISTADES Y SEGUIDORES</t>
  </si>
  <si>
    <t xml:space="preserve">CS-62</t>
  </si>
  <si>
    <t xml:space="preserve">PERFIL DE OTRO USUARIO</t>
  </si>
  <si>
    <t xml:space="preserve">CS-63</t>
  </si>
  <si>
    <t xml:space="preserve">PANTALLA DE VALORACIONES Y COMENTARIOS</t>
  </si>
  <si>
    <t xml:space="preserve">CS-64</t>
  </si>
  <si>
    <t xml:space="preserve">CONTRASEÑA SEGURA</t>
  </si>
  <si>
    <t xml:space="preserve">↑ Índice</t>
  </si>
  <si>
    <t xml:space="preserve">Propietario</t>
  </si>
  <si>
    <t xml:space="preserve">Joaquin</t>
  </si>
  <si>
    <t xml:space="preserve">Fecha</t>
  </si>
  <si>
    <t xml:space="preserve">Prior Reference</t>
  </si>
  <si>
    <t xml:space="preserve">Sec. 6.8 / Sec. 6.4, 8</t>
  </si>
  <si>
    <t xml:space="preserve">Task Description</t>
  </si>
  <si>
    <t xml:space="preserve">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</si>
  <si>
    <t xml:space="preserve">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</si>
  <si>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(CS-12) y avisa al autor (CS-07). Si falla alguna de estas comprobaciones, no está completa.</t>
  </si>
  <si>
    <t xml:space="preserve">Las celdas grises se calculan solas: Título, Prioridad, Riesgo y Tiempo estimado se editan en el Índice; Estado y Tiempo total salen de los objetivos.</t>
  </si>
  <si>
    <t xml:space="preserve">Task Tracking · para añadir un objetivo, escribe en la fila vacía de debajo de la tabla</t>
  </si>
  <si>
    <t xml:space="preserve">Objetivo</t>
  </si>
  <si>
    <t xml:space="preserve">Descripción</t>
  </si>
  <si>
    <t xml:space="preserve">Finalizado</t>
  </si>
  <si>
    <t xml:space="preserve">Responsable</t>
  </si>
  <si>
    <t xml:space="preserve">Sec. 6.8 / CS-01</t>
  </si>
  <si>
    <t xml:space="preserve">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</si>
  <si>
    <t xml:space="preserve">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</si>
  <si>
    <t xml:space="preserve">Sec. 6.8 / Sec. 11</t>
  </si>
  <si>
    <t xml:space="preserve">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</si>
  <si>
    <t xml:space="preserve">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</si>
  <si>
    <t xml:space="preserve">Sec. 6.9 / Sec. 8, 11</t>
  </si>
  <si>
    <t xml:space="preserve">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</si>
  <si>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 xml:space="preserve">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</si>
  <si>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 xml:space="preserve">Sec. 6.9 / CS-04</t>
  </si>
  <si>
    <t xml:space="preserve">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</si>
  <si>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 xml:space="preserve">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</si>
  <si>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 xml:space="preserve">Sec. 6.9 / CS-05</t>
  </si>
  <si>
    <t xml:space="preserve">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</si>
  <si>
    <t xml:space="preserve">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</si>
  <si>
    <t xml:space="preserve">Sec. 6.10 / CS-01, CS-02</t>
  </si>
  <si>
    <t xml:space="preserve">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</si>
  <si>
    <t xml:space="preserve">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</si>
  <si>
    <t xml:space="preserve">Sec. 6.10 / CS-07</t>
  </si>
  <si>
    <t xml:space="preserve">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</si>
  <si>
    <t xml:space="preserve">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</si>
  <si>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 xml:space="preserve">Sec. 6.10 / Sec. 6.2, 6.4</t>
  </si>
  <si>
    <t xml:space="preserve">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</si>
  <si>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 xml:space="preserve">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</si>
  <si>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 xml:space="preserve">Sec. 6.5 / Sec. 6.4, 8</t>
  </si>
  <si>
    <t xml:space="preserve">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</si>
  <si>
    <t xml:space="preserve">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</si>
  <si>
    <t xml:space="preserve">Sec. 6.5 / CS-10</t>
  </si>
  <si>
    <t xml:space="preserve">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</si>
  <si>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 xml:space="preserve">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</si>
  <si>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 xml:space="preserve">Sec. 6.5 / CS-01, CS-10</t>
  </si>
  <si>
    <t xml:space="preserve">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</si>
  <si>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 xml:space="preserve">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</si>
  <si>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 xml:space="preserve">Sec. 6.8 / Sec. 11, CS-01</t>
  </si>
  <si>
    <t xml:space="preserve">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</si>
  <si>
    <t xml:space="preserve">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</si>
  <si>
    <t xml:space="preserve">Sec. 6.8 / CS-01, CS-02, CS-12</t>
  </si>
  <si>
    <t xml:space="preserve">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</si>
  <si>
    <t xml:space="preserve">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</si>
  <si>
    <t xml:space="preserve">Sec. 6.8 / CS-03, CS-07</t>
  </si>
  <si>
    <t xml:space="preserve">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</si>
  <si>
    <t xml:space="preserve">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</si>
  <si>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 xml:space="preserve">Sec. 6.9 / CS-04, CS-05</t>
  </si>
  <si>
    <t xml:space="preserve">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</si>
  <si>
    <t xml:space="preserve">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</si>
  <si>
    <t xml:space="preserve">Sec. 6.9 / Sec. 11, CS-04</t>
  </si>
  <si>
    <t xml:space="preserve">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</si>
  <si>
    <t xml:space="preserve">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</si>
  <si>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 xml:space="preserve">Sec. 6.9 / CS-06, Sec. 11</t>
  </si>
  <si>
    <t xml:space="preserve">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</si>
  <si>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 xml:space="preserve">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</si>
  <si>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 xml:space="preserve">Sec. 6.10 / CS-06, CS-08</t>
  </si>
  <si>
    <t xml:space="preserve">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</si>
  <si>
    <t xml:space="preserve">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</si>
  <si>
    <t xml:space="preserve">Sec. 6.10 / CS-07, CS-09</t>
  </si>
  <si>
    <t xml:space="preserve">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</si>
  <si>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 xml:space="preserve">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</si>
  <si>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 xml:space="preserve">Sec. 6.10 / Sec. 7, CS-07</t>
  </si>
  <si>
    <t xml:space="preserve">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</si>
  <si>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 xml:space="preserve">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</si>
  <si>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 xml:space="preserve">Matthew</t>
  </si>
  <si>
    <t xml:space="preserve">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</si>
  <si>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 xml:space="preserve">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</si>
  <si>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 xml:space="preserve">En el menú de navegación, puedo darle a un botón que me lleva a una pestaña de búsqueda. Desde esta pestaña sigo pudiendo acceder al menú de navegación de la aplicación, para cambiar a otras pestañas.</t>
  </si>
  <si>
    <t xml:space="preserve">Si al darle al botón que me lleva a la página de búsqueda, no me lleva, no está completo. Si no aparece la barra de búsqueda, o no me deja seleccionarla, tampoco.</t>
  </si>
  <si>
    <t xml:space="preserve">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</si>
  <si>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 xml:space="preserve">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</si>
  <si>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 xml:space="preserve">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</si>
  <si>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 xml:space="preserve">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</si>
  <si>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 xml:space="preserve">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</si>
  <si>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 xml:space="preserve">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</si>
  <si>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 xml:space="preserve">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</si>
  <si>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 xml:space="preserve">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</si>
  <si>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 xml:space="preserve">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</si>
  <si>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 xml:space="preserve">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</si>
  <si>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 xml:space="preserve">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</si>
  <si>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 xml:space="preserve">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</si>
  <si>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 xml:space="preserve">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</si>
  <si>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 xml:space="preserve">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</si>
  <si>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 xml:space="preserve">En la pestaña de buscar podré activar un filtro llamado “Experiencias de mis amigos”, que incluya únicamente aquellas experiencias creadas por mis amigos, para las que tenga acceso.</t>
  </si>
  <si>
    <t xml:space="preserve">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</si>
  <si>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 xml:space="preserve">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</si>
  <si>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 xml:space="preserve">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</si>
  <si>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 xml:space="preserve">En la pestaña de búsqueda puedo pulsar un botón que elimina el texto escrito, y los filtros seleccionados. No cambiará el orden de búsqueda.</t>
  </si>
  <si>
    <t xml:space="preserve">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</si>
  <si>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 xml:space="preserve">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</si>
  <si>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 xml:space="preserve">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</si>
  <si>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 xml:space="preserve">Cuando una búsqueda devuelva más experiencias de las que se muestran inicialmente, puedo pulsar “Cargar más” para consultar el siguiente grupo. Las experiencias nuevas se añadirán a la lista manteniendo los mismos criterios y el mismo orden.</t>
  </si>
  <si>
    <t xml:space="preserve">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</si>
  <si>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 xml:space="preserve">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</si>
  <si>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 xml:space="preserve">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</si>
  <si>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 xml:space="preserve">Jorge</t>
  </si>
  <si>
    <t xml:space="preserve">Apartado 6.11</t>
  </si>
  <si>
    <t xml:space="preserve">Como usuario, quiero copiar el enlace de una experiencia para compartirla con otras personas.</t>
  </si>
  <si>
    <t xml:space="preserve">Al pulsar «Copiar enlace», se copia la dirección al portapapeles y se muestra una confirmación. El enlace abre la experiencia si quien lo recibe tiene permiso para verla.</t>
  </si>
  <si>
    <t xml:space="preserve">Como usuario, quiero compartir una experiencia mediante una aplicación de mensajería para proponer un plan a mis amigos.</t>
  </si>
  <si>
    <t xml:space="preserve">Al pulsar «Compartir», aparecen las opciones disponibles del dispositivo. Al elegir una aplicación compatible, se prepara un mensaje con el enlace; el usuario elige el destinatario y confirma el envío.</t>
  </si>
  <si>
    <t xml:space="preserve">Apartado 6.12</t>
  </si>
  <si>
    <t xml:space="preserve">Como usuario, quiero recibir recomendaciones de experiencias en la ciudad que seleccione para descubrir planes en el lugar que me interesa.</t>
  </si>
  <si>
    <t xml:space="preserve">Las recomendaciones pertenecen a la ciudad seleccionada y se actualizan al cambiarla. Si no hay experiencias disponibles, se muestra un mensaje indicándolo.</t>
  </si>
  <si>
    <t xml:space="preserve">Como usuario, quiero indicar las categorías de experiencias que me gustan para recibir recomendaciones relacionadas con mis intereses.</t>
  </si>
  <si>
    <t xml:space="preserve">El usuario puede guardar sus categorías de interés. Si hay experiencias de esas categorías, se priorizan en las recomendaciones. Al cambiar sus intereses, se actualizan las sugerencias.</t>
  </si>
  <si>
    <t xml:space="preserve">Como usuario, quiero recibir recomendaciones de experiencias similares a las que he guardado para descubrir nuevos planes que puedan interesarme.</t>
  </si>
  <si>
    <t xml:space="preserve">Si hay experiencias guardadas y otras disponibles de las mismas categorías, estas aparecen como sugerencias. Las ya guardadas no se muestran como nuevos descubrimientos.</t>
  </si>
  <si>
    <t xml:space="preserve">Como usuario, quiero que mis valoraciones influyan en las recomendaciones para descubrir experiencias similares a las que más me han gustado.</t>
  </si>
  <si>
    <t xml:space="preserve">Se priorizan experiencias de las categorías valoradas positivamente por el usuario cuando están disponibles. Las experiencias ya valoradas no se muestran como nuevos descubrimientos.</t>
  </si>
  <si>
    <t xml:space="preserve">Flavia</t>
  </si>
  <si>
    <t xml:space="preserve">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</si>
  <si>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 xml:space="preserve">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</si>
  <si>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 xml:space="preserve">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</si>
  <si>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 xml:space="preserve">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</si>
  <si>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 xml:space="preserve">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</si>
  <si>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 xml:space="preserve">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</si>
  <si>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 xml:space="preserve">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</si>
  <si>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 xml:space="preserve">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</si>
  <si>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 xml:space="preserve">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</si>
  <si>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 xml:space="preserve">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</si>
  <si>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 xml:space="preserve">Añadir campo nombreUsuario a la entidad Usuario, único</t>
  </si>
  <si>
    <t xml:space="preserve">Sí</t>
  </si>
  <si>
    <t xml:space="preserve">Validar longitud y caracteres permitidos del nombre de usuario</t>
  </si>
  <si>
    <t xml:space="preserve">Añadir campo foto a la entidad Usuario</t>
  </si>
  <si>
    <t xml:space="preserve">Función para subir la foto (validar formato JPG/PNG/WebP y tamaño máximo)</t>
  </si>
  <si>
    <t xml:space="preserve">Guardar la foto fuera de la base de datos (Cloudinary) y solo su URL en el perfil</t>
  </si>
  <si>
    <t xml:space="preserve">Mostrar imagen por defecto si no hay foto</t>
  </si>
  <si>
    <t xml:space="preserve">Función para crear el perfil</t>
  </si>
  <si>
    <t xml:space="preserve">Función para editar el perfil (solo el propio usuario)</t>
  </si>
  <si>
    <t xml:space="preserve">Función para consultar el perfil propio</t>
  </si>
  <si>
    <t xml:space="preserve">Probar los casos del criterio de validación (nombre duplicado, foto inválida, edición reflejada)</t>
  </si>
  <si>
    <t xml:space="preserve">Pantalla de perfil en el frontend</t>
  </si>
  <si>
    <t xml:space="preserve">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</si>
  <si>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 xml:space="preserve">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</si>
  <si>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 xml:space="preserve">Lucia</t>
  </si>
  <si>
    <t xml:space="preserve">Crear la entidad Experiencia con los campos título, descripción, ciudad, tipo ,y momento adecuado. Cada experiencia pertenece obligatoriamente a una única ciudad.</t>
  </si>
  <si>
    <t xml:space="preserve">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</si>
  <si>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 xml:space="preserve">Crear la entidad Experiencia (título, descripción, ciudad, tipo, momento adecuado)</t>
  </si>
  <si>
    <t xml:space="preserve">Relacionar cada experiencia con una única ciudad</t>
  </si>
  <si>
    <t xml:space="preserve">Validar que los campos obligatorios estén presentes al crear</t>
  </si>
  <si>
    <t xml:space="preserve">Función para crear una experiencia</t>
  </si>
  <si>
    <t xml:space="preserve">Creación del primer catálogo de ciudades</t>
  </si>
  <si>
    <t xml:space="preserve">Rechazar la creación si falta algún campo obligatorio</t>
  </si>
  <si>
    <t xml:space="preserve">Probar que la experiencia queda asociada solo a su ciudad</t>
  </si>
  <si>
    <t xml:space="preserve">Probar el caso de creación con datos válidos</t>
  </si>
  <si>
    <t xml:space="preserve">Pantalla para crear experiencias en el frontend (botón «+» en la bienvenida)</t>
  </si>
  <si>
    <t xml:space="preserve">Permitir añadir a una experiencia lugares específicos, como parques, museos, negocios, o eventos, y asociarlos con su ciudad o barrio. También podrás incluir un link a la página web oficial de cada lugar, si la tiene.</t>
  </si>
  <si>
    <t xml:space="preserve">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</si>
  <si>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 xml:space="preserve">Implementar una secuencia editable que permita ordenar varias experiencias y definir el recorrido o itinerario completo que seguirá el usuario.</t>
  </si>
  <si>
    <t xml:space="preserve">Si el usuario decide cambiar el orden de los lugares, la nueva secuencia se guarda correctamente y se mantiene al volver a abrir el itinerario.</t>
  </si>
  <si>
    <t xml:space="preserve">Permitir añadir fotografías y/o un comentario opcional a cada experiencia para complementar la información y hacer el itinerario más útil para otros usuarios.</t>
  </si>
  <si>
    <t xml:space="preserve">Si un usuario añade una foto o un comentario en un lugar concreto, ambos se quedan asociados a la experiencia correspondiente y se muestran al consultarla. Si el lugar no pertenece a la experiencia, no se guarda el contenido.</t>
  </si>
  <si>
    <t xml:space="preserve">Añadir a cada experiencia los campos duración estimada y tarifa aproximada, permitiendo ofrecer una referencia de presupuesto y tiempo necesario para realizar la actividad.</t>
  </si>
  <si>
    <t xml:space="preserve">Si el usuario introduce una duración y tarifa válidas, la información se guarda y se muestra a otros usuarios correctamente. Los valores inválidos o negativos se rechazan.</t>
  </si>
  <si>
    <t xml:space="preserve">Permitir asociar eventos específicos y temporales a un lugar, indicando su nombre, detalles, y la fecha en la que se celebran para diferenciar actividades permanentes de experiencias que tienen una duración determinada.</t>
  </si>
  <si>
    <t xml:space="preserve">Si un usuario añade un evento con una fecha válida, queda vinculado al lugar elegido. Si la fecha es incorrecta, no se registra.</t>
  </si>
  <si>
    <t xml:space="preserve">Permitir clasificar las experiencias mediante una categoría, como cultural, naturaleza, gastronómica, familiar, entre otras categorías definidas. Esto ayuda a facilitar su organización y búsqueda.</t>
  </si>
  <si>
    <t xml:space="preserve">Si el usuario selecciona una categoría permitida, la experiencia queda clasificada y podrá encontrarse aplicando ese filtro.</t>
  </si>
  <si>
    <t xml:space="preserve">Añadir el campo momento recomendado para indicar cuándo es más adecuada la experiencia, basado en la hora del día, la estación, el día de la semana o la temporada.</t>
  </si>
  <si>
    <t xml:space="preserve">Si el usuario selecciona un momento preestablecido, este se guarda correctamente y aparece en la información de la experiencia. Valores fuera de las opciones permitidas no se aceptan.</t>
  </si>
  <si>
    <t xml:space="preserve">Crear el endpoint de edición de una experiencia para permitir modificar sus características, como el título, o la categoría, manteniendo la restricción de una única ciudad.</t>
  </si>
  <si>
    <t xml:space="preserve">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</si>
  <si>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 xml:space="preserve">Crear la función de edición de una experiencia</t>
  </si>
  <si>
    <t xml:space="preserve">Permitir modificar título, categoría y otros campos</t>
  </si>
  <si>
    <t xml:space="preserve">Mantener la restricción de una única ciudad al editar</t>
  </si>
  <si>
    <t xml:space="preserve">Rechazar el cambio de ciudad si es incompatible con los lugares ya existentes</t>
  </si>
  <si>
    <t xml:space="preserve">No</t>
  </si>
  <si>
    <t xml:space="preserve">Restringir la edición solo al autor de la experiencia</t>
  </si>
  <si>
    <t xml:space="preserve">Probar que un usuario no autor no puede editar</t>
  </si>
  <si>
    <t xml:space="preserve">Probar que los cambios sustituyen correctamente a los datos anteriores</t>
  </si>
  <si>
    <t xml:space="preserve">Pantalla para editar experiencias en el frontend (pulsando su tarjeta en la bienvenida)</t>
  </si>
  <si>
    <t xml:space="preserve">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</si>
  <si>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 xml:space="preserve">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</si>
  <si>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 xml:space="preserve">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</si>
  <si>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 xml:space="preserve">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</si>
  <si>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 xml:space="preserve">Mostrar el formulario con nombre de usuario, email y contraseña, con validaciones HTML básicas</t>
  </si>
  <si>
    <t xml:space="preserve">Validar los datos en el backend y rechazar nombres o emails duplicados sin crear la cuenta</t>
  </si>
  <si>
    <t xml:space="preserve">Verificar el CAPTCHA de Turnstile en el servidor antes de consultar o guardar usuarios</t>
  </si>
  <si>
    <t xml:space="preserve">Crear la cuenta, iniciar la sesión y abrir la bienvenida cuando el registro termina correctamente</t>
  </si>
  <si>
    <t xml:space="preserve">Mostrar un mensaje visible ante errores de validación, red o carga y configuración del CAPTCHA</t>
  </si>
  <si>
    <t xml:space="preserve">Indicar que el registro está en curso, impedir envíos duplicados y reactivar el botón tras cualquier error</t>
  </si>
  <si>
    <t xml:space="preserve">Probar registro correcto, datos inválidos, duplicados, fallo de red, CAPTCHA no disponible y reintento</t>
  </si>
  <si>
    <t xml:space="preserve">Registra cada cambio en la forma de trabajo, o metodología, del equipo.</t>
  </si>
  <si>
    <t xml:space="preserve">Modificación de la metodología tras la primera revisión de cliente el 02/10/2026.</t>
  </si>
  <si>
    <t xml:space="preserve">CS-45, CS-48, CS-27, CS-30, CS-31</t>
  </si>
  <si>
    <t xml:space="preserve">Como usuario, quiero buscar a otras personas por su nombre de usuario, enviarles una solicitud de amistad que puedan aceptar o rechazar, eliminar una amistad y seguir o dejar de seguir a alguien. La amistad es mutua y necesita aceptación; seguir es en un solo sentido, no necesita aceptación y no da acceso a las experiencias de nivel «amigos». Incluye la pantalla «Buscar personas», cuyos resultados enlazan al perfil de cada usuario (CS-62), y la sección «Solicitudes recibidas» de mi perfil. Es la base de CS-09, CS-22, CS-27, CS-30, CS-31, CS-45 y CS-48.</t>
  </si>
  <si>
    <t xml:space="preserve">Al buscar un texto aparecen como máximo 20 usuarios cuyo nombre lo contiene, sin distinguir mayúsculas, sin mostrar su email y sin incluirme a mí. Al enviar una solicitud queda pendiente y aparece en las «Solicitudes recibidas» del destinatario; no puedo enviármela a mí mismo ni enviar otra si ya hay una pendiente o una amistad entre los dos, en cualquier sentido. Solo el destinatario puede aceptarla o rechazarla: al aceptar, los dos pasamos a ser amigos; al rechazar, la solicitud desaparece y puede volver a enviarse. Cualquiera de los dos puede eliminar la amistad, que deja de existir para ambos. Seguir a alguien se aplica al momento, sin aceptación, no puede repetirse ni hacerse a uno mismo y no cuenta como amistad. Sin sesión, todas las operaciones responden 401. Si una solicitud pendiente cuenta como amistad o alguien distinto del destinatario puede aceptarla, no está completa.</t>
  </si>
  <si>
    <t xml:space="preserve">Modelo Amistad (solicitante, destinatario, estado pendiente o aceptada, fecha) con un único registro por pareja y su migración</t>
  </si>
  <si>
    <t xml:space="preserve">Modelo Seguimiento (seguidor, seguido, fecha) con un único registro por pareja y su migración</t>
  </si>
  <si>
    <t xml:space="preserve">amistadRepository: crear, buscar la relación entre dos usuarios en ambos sentidos, aceptar, borrar y listar solicitudes recibidas</t>
  </si>
  <si>
    <t xml:space="preserve">seguimientoRepository: seguir, dejar de seguir y comprobar si uno sigue a otro</t>
  </si>
  <si>
    <t xml:space="preserve">Buscar usuarios por nombre en usuarioRepository (contiene el texto, máximo 20, sin email)</t>
  </si>
  <si>
    <t xml:space="preserve">Servicio: enviar solicitud (usuario existente, no a uno mismo, sin pendiente ni amistad previa en ningún sentido)</t>
  </si>
  <si>
    <t xml:space="preserve">Servicio: aceptar o rechazar solo por el destinatario y eliminar la amistad por cualquiera de los dos</t>
  </si>
  <si>
    <t xml:space="preserve">Servicio: seguir y dejar de seguir (no a uno mismo, sin duplicados)</t>
  </si>
  <si>
    <t xml:space="preserve">Servicio: función sonAmigos(a, b) que solo cuenta amistades aceptadas, para reutilizarla en CS-30, CS-44 y CS-48</t>
  </si>
  <si>
    <t xml:space="preserve">Rutas /api/usuarios (búsqueda), /api/amistades y /api/seguimientos, todas con requiereSesion</t>
  </si>
  <si>
    <t xml:space="preserve">Pruebas de API de cada caso del criterio (pendiente, duplicados, permisos al aceptar, rechazo, eliminación, seguir y 401)</t>
  </si>
  <si>
    <t xml:space="preserve">Pantalla personas.html con buscador y resultados que enlazan al perfil de cada usuario (CS-62)</t>
  </si>
  <si>
    <t xml:space="preserve">Sección «Solicitudes recibidas» en perfil.html con botones Aceptar y Rechazar</t>
  </si>
  <si>
    <t xml:space="preserve">Enlace «Buscar personas» en la barra de navegación</t>
  </si>
  <si>
    <t xml:space="preserve">Pruebas de pantalla con jsdom: búsqueda, sin resultados, aceptar y rechazar</t>
  </si>
  <si>
    <t xml:space="preserve">Comprobación manual en escritorio y móvil</t>
  </si>
  <si>
    <t xml:space="preserve">CS-61, CS-44, CS-45, CS-47, CS-30</t>
  </si>
  <si>
    <t xml:space="preserve">Como usuario, quiero abrir el perfil de otra persona desde la búsqueda de personas o desde el autor de una experiencia y ver su nombre de usuario, su foto, su ciudad, su número de amigos y seguidores y las experiencias suyas que tengo permiso para ver. Desde su perfil puedo enviarle una solicitud de amistad, aceptar la que me haya enviado, eliminar la amistad y seguirla o dejar de seguirla. El perfil ajeno nunca muestra el email ni otros datos privados.</t>
  </si>
  <si>
    <t xml:space="preserve">Al abrir el perfil de otro usuario veo su nombre, su foto (o la imagen por defecto), su ciudad y sus contadores de amigos y seguidores, que coinciden con los de CS-45; la respuesta nunca incluye su email. El botón de amistad corresponde a la relación real: «Añadir amigo» si no hay ninguna, «Solicitud enviada» si está pendiente, «Aceptar» y «Rechazar» si me la ha enviado él, y «Eliminar amigo», con confirmación, si somos amigos. El botón «Seguir» o «Dejar de seguir» corresponde a si ya lo sigo. Tras pulsar cualquiera de ellos, el botón y los contadores se actualizan sin recargar la página y siguen igual al recargarla. Solo aparecen sus experiencias públicas y, si somos amigos, también las de nivel «amigos»; nunca las privadas. Si el usuario no existe veo «Usuario no encontrado», y si abro mi propio nombre voy a mi perfil. Si se muestra el email o una experiencia que no puedo ver, no está completa.</t>
  </si>
  <si>
    <t xml:space="preserve">Obtener en usuarioRepository el perfil público por nombre de usuario (sin email)</t>
  </si>
  <si>
    <t xml:space="preserve">Servicio de perfil público: datos, contadores de amigos y seguidores y relación con quien lo consulta; 404 si no existe</t>
  </si>
  <si>
    <t xml:space="preserve">Ruta GET /api/usuarios/:nombreUsuario con requiereSesion</t>
  </si>
  <si>
    <t xml:space="preserve">Pruebas de API: sin email, 404 y relación en cada estado (ninguna, enviada, recibida, amigos, siguiendo)</t>
  </si>
  <si>
    <t xml:space="preserve">Página usuario.html con foto (o imagen por defecto), nombre, ciudad y contadores</t>
  </si>
  <si>
    <t xml:space="preserve">Botón de amistad según la relación, con confirmación antes de eliminar, usando las rutas de CS-61</t>
  </si>
  <si>
    <t xml:space="preserve">Botón Seguir / Dejar de seguir</t>
  </si>
  <si>
    <t xml:space="preserve">Listado de sus experiencias visibles para mí, con la función de CS-44</t>
  </si>
  <si>
    <t xml:space="preserve">Mensaje «Usuario no encontrado» y redirección a perfil.html si es mi propio nombre</t>
  </si>
  <si>
    <t xml:space="preserve">Enlazar al perfil desde la búsqueda de personas (CS-61) y desde el autor de cada experiencia</t>
  </si>
  <si>
    <t xml:space="preserve">Pruebas de pantalla con jsdom: botones según la relación, cambio tras pulsar, usuario inexistente y perfil propio</t>
  </si>
  <si>
    <t xml:space="preserve">Jose</t>
  </si>
  <si>
    <t xml:space="preserve">CS-01, CS-02, CS-04, CS-30, CS-32</t>
  </si>
  <si>
    <t xml:space="preserve">Como usuario, en la página de una experiencia quiero ver sus valoraciones y comentarios, puntuarla con un comentario opcional, cambiar mi valoración, marcar como útil el comentario de otra persona y reportar un comentario. Es la pantalla de CS-01, CS-02 y CS-04, que solo definen el backend. Incluye una página experiencia.html mínima (título, autor y ciudad) que CS-32 ampliará con la vista detallada.</t>
  </si>
  <si>
    <t xml:space="preserve">Al abrir una experiencia que puedo ver aparece la lista de comentarios con el autor, enlazado a su perfil (CS-62), la puntuación, el texto y la fecha; con «Cargar más» se añaden los siguientes sin repetir ninguno. Si no hay ninguno, se indica «Todavía no hay valoraciones». El formulario no se envía sin una puntuación dentro del rango de CS-01 y avisa antes de superar la longitud máxima del comentario de CS-02. Si ya la había valorado, el formulario aparece con mi valoración y al guardar se actualiza, sin crear otra. Un comentario con HTML se muestra como texto. Puedo marcar y desmarcar «Útil» en comentarios ajenos, pero no en el mío, y el contador cambia en uno. Al reportar elijo uno de los motivos de CS-04 y veo una confirmación; si ya lo había reportado, se me indica. Si la experiencia no es visible para mí, veo «Contenido no disponible» sin ningún dato (CS-30). Si falla la red, se muestra un error y no se pierde lo escrito. Si falla alguna de estas comprobaciones, no está completa.</t>
  </si>
  <si>
    <t xml:space="preserve">Ruta GET /api/experiencias/:id que devuelve la experiencia solo si el usuario puede verla (base de CS-30 y CS-32)</t>
  </si>
  <si>
    <t xml:space="preserve">Pruebas de API de esa ruta: visible, no visible e inexistente</t>
  </si>
  <si>
    <t xml:space="preserve">Página experiencia.html con título, autor y ciudad, abierta desde las tarjetas de la bienvenida</t>
  </si>
  <si>
    <t xml:space="preserve">Lista de comentarios con autor, puntuación, texto y fecha, insertados con textContent, y botón «Cargar más»</t>
  </si>
  <si>
    <t xml:space="preserve">Formulario de valoración: puntuación obligatoria y comentario opcional con contador de caracteres</t>
  </si>
  <si>
    <t xml:space="preserve">Cargar mi valoración en el formulario y actualizarla en lugar de crear otra</t>
  </si>
  <si>
    <t xml:space="preserve">Botón «Útil» con contador, desactivado en mis propios comentarios</t>
  </si>
  <si>
    <t xml:space="preserve">Reportar un comentario: diálogo con los motivos de CS-04, confirmación y aviso si ya lo había reportado</t>
  </si>
  <si>
    <t xml:space="preserve">Mensajes de carga, «Todavía no hay valoraciones», error de red y «Contenido no disponible»</t>
  </si>
  <si>
    <t xml:space="preserve">Pruebas de pantalla con jsdom de cada caso del criterio</t>
  </si>
  <si>
    <t xml:space="preserve">CS-59, CS-47</t>
  </si>
  <si>
    <t xml:space="preserve">Como usuario, quiero que mi contraseña sea difícil de adivinar, poder cambiarla desde mi perfil y recuperarla por email si la olvido. Las mismas reglas se aplican al crear la cuenta, al cambiarla y al restablecerla. La recuperación envía un enlace de un solo uso que caduca; para ello hace falta un proveedor de envío de emails, que el equipo debe elegir y configurar en .env.</t>
  </si>
  <si>
    <t xml:space="preserve">Una contraseña se acepta solo si tiene entre 8 y 72 bytes, al menos una mayúscula, una minúscula y un número, y no contiene el nombre de usuario; si no, se rechaza con un mensaje que indica qué requisito falla, igual en el registro, en el cambio y en el restablecimiento. Los formularios muestran los requisitos y marcan cuáles se cumplen mientras se escribe. Para cambiarla hay que dar la contraseña actual: si es incorrecta, no cambia nada; si es correcta, después el inicio de sesión funciona con la nueva y falla con la antigua. Al pedir la recuperación la respuesta es la misma exista o no el email; si existe, llega un enlace que funciona una sola vez y caduca a los 30 minutos. Un enlace usado, caducado o inventado se rechaza. En la base de datos solo se guarda el hash del enlace, nunca el enlace. La recuperación tiene límite de peticiones. Si se guarda una contraseña que incumple las reglas o un enlace sirve dos veces, no está completa.</t>
  </si>
  <si>
    <t xml:space="preserve">Función validarPassword en services/shared con las reglas de la contraseña</t>
  </si>
  <si>
    <t xml:space="preserve">Aplicarla en el registro y adaptar las pruebas actuales que usan contraseñas débiles</t>
  </si>
  <si>
    <t xml:space="preserve">Mostrar los requisitos en registro.html y marcar en vivo los que se cumplen</t>
  </si>
  <si>
    <t xml:space="preserve">Guardar el nuevo hash de la contraseña en usuarioRepository</t>
  </si>
  <si>
    <t xml:space="preserve">Servicio cambiarPassword: comprueba la actual con bcrypt y valida la nueva</t>
  </si>
  <si>
    <t xml:space="preserve">Ruta PUT /api/perfil/password con requiereSesion y límite de intentos</t>
  </si>
  <si>
    <t xml:space="preserve">Formulario «Cambiar contraseña» en perfil.html (actual, nueva y repetir)</t>
  </si>
  <si>
    <t xml:space="preserve">Modelo TokenRecuperacion (usuario, hash del token, caducidad, usado) y su migración</t>
  </si>
  <si>
    <t xml:space="preserve">Elegir proveedor de email, crear emailRepository y añadir sus variables a .env.example</t>
  </si>
  <si>
    <t xml:space="preserve">Servicio solicitarRecuperacion: misma respuesta exista o no el email, token aleatorio guardado como hash y caducidad de 30 minutos</t>
  </si>
  <si>
    <t xml:space="preserve">Servicio restablecerPassword: token válido, sin usar y sin caducar; valida la nueva y marca el token como usado</t>
  </si>
  <si>
    <t xml:space="preserve">Rutas POST /api/auth/recuperar y POST /api/auth/restablecer con límite de peticiones</t>
  </si>
  <si>
    <t xml:space="preserve">Pantallas recuperar.html y restablecer.html y enlace «¿Has olvidado tu contraseña?» en el inicio de sesión</t>
  </si>
  <si>
    <t xml:space="preserve">Pruebas de API: requisitos, contraseña actual incorrecta, login con la antigua y la nueva, email inexistente y token caducado, usado o inventado (envío simulado)</t>
  </si>
  <si>
    <t xml:space="preserve">Pruebas de pantalla con jsdom de los formularios</t>
  </si>
</sst>
</file>

<file path=xl/styles.xml><?xml version="1.0" encoding="utf-8"?>
<styleSheet xmlns="http://schemas.openxmlformats.org/spreadsheetml/2006/main">
  <numFmts count="5">
    <numFmt numFmtId="164" formatCode="General"/>
    <numFmt numFmtId="165" formatCode="0.0#&quot; h&quot;;\-0.0#&quot; h&quot;;\—"/>
    <numFmt numFmtId="166" formatCode="m/d/yyyy"/>
    <numFmt numFmtId="167" formatCode="&quot;Objetivo &quot;0"/>
    <numFmt numFmtId="168" formatCode="0&quot; min&quot;;\-0&quot; min&quot;;\—"/>
  </numFmts>
  <fonts count="17">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b val="true"/>
      <sz val="11"/>
      <color rgb="FF595959"/>
      <name val="Arial"/>
      <family val="0"/>
      <charset val="1"/>
    </font>
    <font>
      <b val="true"/>
      <sz val="11"/>
      <color rgb="FF1F4E78"/>
      <name val="Arial"/>
      <family val="0"/>
      <charset val="1"/>
    </font>
    <font>
      <i val="true"/>
      <sz val="10"/>
      <color rgb="FF595959"/>
      <name val="Arial"/>
      <family val="0"/>
      <charset val="1"/>
    </font>
    <font>
      <b val="true"/>
      <sz val="11"/>
      <color rgb="FFFFFFFF"/>
      <name val="Arial"/>
      <family val="0"/>
      <charset val="1"/>
    </font>
    <font>
      <sz val="11"/>
      <name val="Arial"/>
      <family val="0"/>
      <charset val="1"/>
    </font>
    <font>
      <u val="single"/>
      <sz val="11"/>
      <color theme="10"/>
      <name val="Calibri"/>
      <family val="2"/>
      <charset val="1"/>
    </font>
    <font>
      <sz val="12"/>
      <color theme="0"/>
      <name val="Calibri"/>
      <family val="0"/>
    </font>
    <font>
      <b val="true"/>
      <sz val="14"/>
      <color rgb="FFFFFFFF"/>
      <name val="Arial"/>
      <family val="0"/>
      <charset val="1"/>
    </font>
    <font>
      <b val="true"/>
      <u val="single"/>
      <sz val="11"/>
      <color rgb="FFFFFFFF"/>
      <name val="Arial"/>
      <family val="0"/>
      <charset val="1"/>
    </font>
    <font>
      <b val="true"/>
      <sz val="11"/>
      <name val="Arial"/>
      <family val="0"/>
      <charset val="1"/>
    </font>
    <font>
      <i val="true"/>
      <sz val="9"/>
      <color rgb="FF7F7F7F"/>
      <name val="Arial"/>
      <family val="0"/>
      <charset val="1"/>
    </font>
    <font>
      <b val="true"/>
      <sz val="12"/>
      <color rgb="FFFFFF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CE6F1"/>
        <bgColor rgb="FFE2EFDA"/>
      </patternFill>
    </fill>
    <fill>
      <patternFill patternType="solid">
        <fgColor rgb="FFF2F2F2"/>
        <bgColor rgb="FFEDEDED"/>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0" fillId="0" borderId="1" xfId="20" applyFont="true" applyBorder="true" applyAlignment="true" applyProtection="tru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2" fillId="2" borderId="0" xfId="0" applyFont="true" applyBorder="true" applyAlignment="true" applyProtection="false">
      <alignment horizontal="general" vertical="center" textRotation="0" wrapText="false" indent="0"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5" fontId="9" fillId="4"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6" fontId="9" fillId="0" borderId="1" xfId="0" applyFont="true" applyBorder="true" applyAlignment="true" applyProtection="false">
      <alignment horizontal="left" vertical="top" textRotation="0" wrapText="tru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6" fillId="2" borderId="0" xfId="0" applyFont="true" applyBorder="tru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center"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888">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375623"/>
          <bgColor rgb="FF000000"/>
        </patternFill>
      </fill>
    </dxf>
    <dxf>
      <fill>
        <patternFill patternType="solid">
          <fgColor rgb="FF843C0C"/>
          <bgColor rgb="FF000000"/>
        </patternFill>
      </fill>
    </dxf>
    <dxf>
      <fill>
        <patternFill patternType="solid">
          <fgColor rgb="FF9C0006"/>
          <bgColor rgb="FF000000"/>
        </patternFill>
      </fill>
    </dxf>
    <dxf>
      <fill>
        <patternFill patternType="solid">
          <fgColor rgb="FF9C5700"/>
          <bgColor rgb="FF000000"/>
        </patternFill>
      </fill>
    </dxf>
    <dxf>
      <fill>
        <patternFill patternType="solid">
          <fgColor rgb="FFEDEDED"/>
          <bgColor rgb="FF000000"/>
        </patternFill>
      </fill>
    </dxf>
    <dxf>
      <fill>
        <patternFill patternType="solid">
          <fgColor rgb="FFFFD966"/>
          <bgColor rgb="FF000000"/>
        </patternFill>
      </fill>
    </dxf>
    <dxf>
      <fill>
        <patternFill patternType="solid">
          <fgColor rgb="FF595959"/>
          <bgColor rgb="FF000000"/>
        </patternFill>
      </fill>
    </dxf>
    <dxf>
      <fill>
        <patternFill patternType="solid">
          <fgColor rgb="FF7F6000"/>
          <bgColor rgb="FF000000"/>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b val="1"/>
      </font>
      <fill>
        <patternFill>
          <bgColor rgb="FFFFF2CC"/>
        </patternFill>
      </fill>
    </dxf>
    <dxf>
      <font>
        <color rgb="FF808080"/>
      </font>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lor rgb="FF7F6000"/>
      </font>
      <fill>
        <patternFill>
          <bgColor rgb="FFFFD966"/>
        </patternFill>
      </fill>
    </dxf>
    <dxf>
      <font>
        <color rgb="FF595959"/>
      </font>
      <fill>
        <patternFill>
          <bgColor rgb="FFEDEDED"/>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375623"/>
      </font>
      <fill>
        <patternFill>
          <bgColor rgb="FFE2EFDA"/>
        </patternFill>
      </fill>
    </dxf>
    <dxf>
      <font>
        <color rgb="FF9C5700"/>
      </font>
      <fill>
        <patternFill>
          <bgColor rgb="FFFFEB9C"/>
        </patternFill>
      </fill>
    </dxf>
    <dxf>
      <font>
        <color rgb="FF843C0C"/>
      </font>
      <fill>
        <patternFill>
          <bgColor rgb="FFF8CBAD"/>
        </patternFill>
      </fill>
    </dxf>
    <dxf>
      <font>
        <b val="1"/>
        <color rgb="FF9C0006"/>
      </font>
      <fill>
        <patternFill>
          <bgColor rgb="FFFFC7CE"/>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FFC7CE"/>
      <rgbColor rgb="FF808080"/>
      <rgbColor rgb="FF9999FF"/>
      <rgbColor rgb="FF9C5700"/>
      <rgbColor rgb="FFFFF2CC"/>
      <rgbColor rgb="FFE2EFDA"/>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DCE6F1"/>
      <rgbColor rgb="FFC6EFCE"/>
      <rgbColor rgb="FFFFEB9C"/>
      <rgbColor rgb="FFF2F2F2"/>
      <rgbColor rgb="FFFF99CC"/>
      <rgbColor rgb="FFCC99FF"/>
      <rgbColor rgb="FFF8CBAD"/>
      <rgbColor rgb="FF3366FF"/>
      <rgbColor rgb="FF33CCCC"/>
      <rgbColor rgb="FF99CC00"/>
      <rgbColor rgb="FFFFD966"/>
      <rgbColor rgb="FFFF9900"/>
      <rgbColor rgb="FFFF6600"/>
      <rgbColor rgb="FF595959"/>
      <rgbColor rgb="FFA6A6A6"/>
      <rgbColor rgb="FF003366"/>
      <rgbColor rgb="FF7F7F7F"/>
      <rgbColor rgb="FF003300"/>
      <rgbColor rgb="FF333300"/>
      <rgbColor rgb="FF843C0C"/>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sharedStrings" Target="sharedStrings.xml"/><Relationship Id="rId7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7</xdr:col>
      <xdr:colOff>237960</xdr:colOff>
      <xdr:row>1</xdr:row>
      <xdr:rowOff>28440</xdr:rowOff>
    </xdr:from>
    <xdr:to>
      <xdr:col>9</xdr:col>
      <xdr:colOff>313920</xdr:colOff>
      <xdr:row>1</xdr:row>
      <xdr:rowOff>320040</xdr:rowOff>
    </xdr:to>
    <xdr:sp>
      <xdr:nvSpPr>
        <xdr:cNvPr id="1" name="Rounded Rectangle 2"/>
        <xdr:cNvSpPr/>
      </xdr:nvSpPr>
      <xdr:spPr>
        <a:xfrm>
          <a:off x="12033720" y="333360"/>
          <a:ext cx="1451520" cy="291600"/>
        </a:xfrm>
        <a:prstGeom prst="roundRect">
          <a:avLst>
            <a:gd name="adj" fmla="val 16667"/>
          </a:avLst>
        </a:prstGeom>
        <a:solidFill>
          <a:srgbClr val="107C41"/>
        </a:solidFill>
        <a:ln w="25400">
          <a:solidFill>
            <a:srgbClr val="4F81BD">
              <a:shade val="15000"/>
            </a:srgbClr>
          </a:solidFill>
          <a:round/>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ctr">
          <a:noAutofit/>
        </a:bodyPr>
        <a:p>
          <a:pPr algn="ctr">
            <a:lnSpc>
              <a:spcPct val="100000"/>
            </a:lnSpc>
          </a:pPr>
          <a:r>
            <a:rPr lang="en-US" sz="1200" b="0" u="none" strike="noStrike">
              <a:solidFill>
                <a:schemeClr val="lt1"/>
              </a:solidFill>
              <a:effectLst/>
              <a:uFillTx/>
              <a:latin typeface="Calibri"/>
            </a:rPr>
            <a:t>Run NuevaStory</a:t>
          </a:r>
          <a:endParaRPr lang="en-US" sz="1200" b="0" u="none" strike="noStrike">
            <a:effectLst/>
            <a:uFillTx/>
            <a:latin typeface="Times New Roman"/>
          </a:endParaRPr>
        </a:p>
      </xdr:txBody>
    </xdr:sp>
    <xdr:clientData/>
  </xdr:twoCellAnchor>
</xdr:wsDr>
</file>

<file path=xl/tables/table1.xml><?xml version="1.0" encoding="utf-8"?>
<table xmlns="http://schemas.openxmlformats.org/spreadsheetml/2006/main" id="1" name="Historias" displayName="Historias" ref="A3:G67" headerRowCount="1" totalsRowCount="0" totalsRowShown="0">
  <autoFilter ref="A3:G67"/>
  <tableColumns count="7">
    <tableColumn id="1" name="Ref"/>
    <tableColumn id="2" name="Título"/>
    <tableColumn id="3" name="Riesgo"/>
    <tableColumn id="4" name="Prioridad"/>
    <tableColumn id="5" name="Tiempo estimado"/>
    <tableColumn id="6" name="Tiempo total"/>
    <tableColumn id="7" name="Estado"/>
  </tableColumns>
</table>
</file>

<file path=xl/tables/table2.xml><?xml version="1.0" encoding="utf-8"?>
<table xmlns="http://schemas.openxmlformats.org/spreadsheetml/2006/main" id="2" name="Obj_CS01" displayName="Obj_CS0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xml><?xml version="1.0" encoding="utf-8"?>
<table xmlns="http://schemas.openxmlformats.org/spreadsheetml/2006/main" id="3" name="Obj_CS02" displayName="Obj_CS0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xml><?xml version="1.0" encoding="utf-8"?>
<table xmlns="http://schemas.openxmlformats.org/spreadsheetml/2006/main" id="4" name="Obj_CS03" displayName="Obj_CS0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xml><?xml version="1.0" encoding="utf-8"?>
<table xmlns="http://schemas.openxmlformats.org/spreadsheetml/2006/main" id="5" name="Obj_CS04" displayName="Obj_CS0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6.xml><?xml version="1.0" encoding="utf-8"?>
<table xmlns="http://schemas.openxmlformats.org/spreadsheetml/2006/main" id="6" name="Obj_CS05" displayName="Obj_CS0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7.xml><?xml version="1.0" encoding="utf-8"?>
<table xmlns="http://schemas.openxmlformats.org/spreadsheetml/2006/main" id="7" name="Obj_CS06" displayName="Obj_CS0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8.xml><?xml version="1.0" encoding="utf-8"?>
<table xmlns="http://schemas.openxmlformats.org/spreadsheetml/2006/main" id="8" name="Obj_CS07" displayName="Obj_CS07"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9.xml><?xml version="1.0" encoding="utf-8"?>
<table xmlns="http://schemas.openxmlformats.org/spreadsheetml/2006/main" id="9" name="Obj_CS08" displayName="Obj_CS0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0.xml><?xml version="1.0" encoding="utf-8"?>
<table xmlns="http://schemas.openxmlformats.org/spreadsheetml/2006/main" id="10" name="Obj_CS09" displayName="Obj_CS09"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1.xml><?xml version="1.0" encoding="utf-8"?>
<table xmlns="http://schemas.openxmlformats.org/spreadsheetml/2006/main" id="11" name="Obj_CS10" displayName="Obj_CS1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2.xml><?xml version="1.0" encoding="utf-8"?>
<table xmlns="http://schemas.openxmlformats.org/spreadsheetml/2006/main" id="12" name="Obj_CS11" displayName="Obj_CS1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3.xml><?xml version="1.0" encoding="utf-8"?>
<table xmlns="http://schemas.openxmlformats.org/spreadsheetml/2006/main" id="13" name="Obj_CS12" displayName="Obj_CS1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4.xml><?xml version="1.0" encoding="utf-8"?>
<table xmlns="http://schemas.openxmlformats.org/spreadsheetml/2006/main" id="14" name="Obj_CS13" displayName="Obj_CS1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5.xml><?xml version="1.0" encoding="utf-8"?>
<table xmlns="http://schemas.openxmlformats.org/spreadsheetml/2006/main" id="15" name="Obj_CS14" displayName="Obj_CS1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6.xml><?xml version="1.0" encoding="utf-8"?>
<table xmlns="http://schemas.openxmlformats.org/spreadsheetml/2006/main" id="16" name="Obj_CS15" displayName="Obj_CS1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7.xml><?xml version="1.0" encoding="utf-8"?>
<table xmlns="http://schemas.openxmlformats.org/spreadsheetml/2006/main" id="17" name="Obj_CS16" displayName="Obj_CS1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8.xml><?xml version="1.0" encoding="utf-8"?>
<table xmlns="http://schemas.openxmlformats.org/spreadsheetml/2006/main" id="18" name="Obj_CS17" displayName="Obj_CS17"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19.xml><?xml version="1.0" encoding="utf-8"?>
<table xmlns="http://schemas.openxmlformats.org/spreadsheetml/2006/main" id="19" name="Obj_CS18" displayName="Obj_CS1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0.xml><?xml version="1.0" encoding="utf-8"?>
<table xmlns="http://schemas.openxmlformats.org/spreadsheetml/2006/main" id="20" name="Obj_CS19" displayName="Obj_CS19"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1.xml><?xml version="1.0" encoding="utf-8"?>
<table xmlns="http://schemas.openxmlformats.org/spreadsheetml/2006/main" id="21" name="Obj_CS20" displayName="Obj_CS2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2.xml><?xml version="1.0" encoding="utf-8"?>
<table xmlns="http://schemas.openxmlformats.org/spreadsheetml/2006/main" id="22" name="Obj_CS21" displayName="Obj_CS2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3.xml><?xml version="1.0" encoding="utf-8"?>
<table xmlns="http://schemas.openxmlformats.org/spreadsheetml/2006/main" id="23" name="Obj_CS22" displayName="Obj_CS2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4.xml><?xml version="1.0" encoding="utf-8"?>
<table xmlns="http://schemas.openxmlformats.org/spreadsheetml/2006/main" id="24" name="Obj_CS23" displayName="Obj_CS2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5.xml><?xml version="1.0" encoding="utf-8"?>
<table xmlns="http://schemas.openxmlformats.org/spreadsheetml/2006/main" id="25" name="Obj_CS24" displayName="Obj_CS2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6.xml><?xml version="1.0" encoding="utf-8"?>
<table xmlns="http://schemas.openxmlformats.org/spreadsheetml/2006/main" id="26" name="Obj_CS25" displayName="Obj_CS2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7.xml><?xml version="1.0" encoding="utf-8"?>
<table xmlns="http://schemas.openxmlformats.org/spreadsheetml/2006/main" id="27" name="Obj_CS26" displayName="Obj_CS2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8.xml><?xml version="1.0" encoding="utf-8"?>
<table xmlns="http://schemas.openxmlformats.org/spreadsheetml/2006/main" id="28" name="Obj_CS27" displayName="Obj_CS27"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29.xml><?xml version="1.0" encoding="utf-8"?>
<table xmlns="http://schemas.openxmlformats.org/spreadsheetml/2006/main" id="29" name="Obj_CS28" displayName="Obj_CS2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0.xml><?xml version="1.0" encoding="utf-8"?>
<table xmlns="http://schemas.openxmlformats.org/spreadsheetml/2006/main" id="30" name="Obj_CS29" displayName="Obj_CS29"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1.xml><?xml version="1.0" encoding="utf-8"?>
<table xmlns="http://schemas.openxmlformats.org/spreadsheetml/2006/main" id="31" name="Obj_CS30" displayName="Obj_CS3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2.xml><?xml version="1.0" encoding="utf-8"?>
<table xmlns="http://schemas.openxmlformats.org/spreadsheetml/2006/main" id="32" name="Obj_CS31" displayName="Obj_CS3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3.xml><?xml version="1.0" encoding="utf-8"?>
<table xmlns="http://schemas.openxmlformats.org/spreadsheetml/2006/main" id="33" name="Obj_CS32" displayName="Obj_CS3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4.xml><?xml version="1.0" encoding="utf-8"?>
<table xmlns="http://schemas.openxmlformats.org/spreadsheetml/2006/main" id="34" name="Obj_CS33" displayName="Obj_CS3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5.xml><?xml version="1.0" encoding="utf-8"?>
<table xmlns="http://schemas.openxmlformats.org/spreadsheetml/2006/main" id="35" name="Obj_CS34" displayName="Obj_CS3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6.xml><?xml version="1.0" encoding="utf-8"?>
<table xmlns="http://schemas.openxmlformats.org/spreadsheetml/2006/main" id="36" name="Obj_CS35" displayName="Obj_CS3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7.xml><?xml version="1.0" encoding="utf-8"?>
<table xmlns="http://schemas.openxmlformats.org/spreadsheetml/2006/main" id="37" name="Obj_CS36" displayName="Obj_CS3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8.xml><?xml version="1.0" encoding="utf-8"?>
<table xmlns="http://schemas.openxmlformats.org/spreadsheetml/2006/main" id="38" name="Obj_CS37" displayName="Obj_CS37"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39.xml><?xml version="1.0" encoding="utf-8"?>
<table xmlns="http://schemas.openxmlformats.org/spreadsheetml/2006/main" id="39" name="Obj_CS38" displayName="Obj_CS3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0.xml><?xml version="1.0" encoding="utf-8"?>
<table xmlns="http://schemas.openxmlformats.org/spreadsheetml/2006/main" id="40" name="Obj_CS39" displayName="Obj_CS39"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1.xml><?xml version="1.0" encoding="utf-8"?>
<table xmlns="http://schemas.openxmlformats.org/spreadsheetml/2006/main" id="41" name="Obj_CS40" displayName="Obj_CS4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2.xml><?xml version="1.0" encoding="utf-8"?>
<table xmlns="http://schemas.openxmlformats.org/spreadsheetml/2006/main" id="42" name="Obj_CS41" displayName="Obj_CS4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3.xml><?xml version="1.0" encoding="utf-8"?>
<table xmlns="http://schemas.openxmlformats.org/spreadsheetml/2006/main" id="43" name="Obj_CS42" displayName="Obj_CS4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4.xml><?xml version="1.0" encoding="utf-8"?>
<table xmlns="http://schemas.openxmlformats.org/spreadsheetml/2006/main" id="44" name="Obj_CS43" displayName="Obj_CS4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5.xml><?xml version="1.0" encoding="utf-8"?>
<table xmlns="http://schemas.openxmlformats.org/spreadsheetml/2006/main" id="45" name="Obj_CS44" displayName="Obj_CS4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6.xml><?xml version="1.0" encoding="utf-8"?>
<table xmlns="http://schemas.openxmlformats.org/spreadsheetml/2006/main" id="46" name="Obj_CS45" displayName="Obj_CS4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7.xml><?xml version="1.0" encoding="utf-8"?>
<table xmlns="http://schemas.openxmlformats.org/spreadsheetml/2006/main" id="47" name="Obj_CS46" displayName="Obj_CS4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48.xml><?xml version="1.0" encoding="utf-8"?>
<table xmlns="http://schemas.openxmlformats.org/spreadsheetml/2006/main" id="48" name="Obj_CS47" displayName="Obj_CS47" ref="A16:F27" headerRowCount="1" totalsRowCount="0" totalsRowShown="0">
  <autoFilter ref="A16:F27"/>
  <tableColumns count="6">
    <tableColumn id="1" name="Objetivo"/>
    <tableColumn id="2" name="Descripción"/>
    <tableColumn id="3" name="Finalizado"/>
    <tableColumn id="4" name="Responsable"/>
    <tableColumn id="5" name="Tiempo estimado"/>
    <tableColumn id="6" name="Tiempo total"/>
  </tableColumns>
</table>
</file>

<file path=xl/tables/table49.xml><?xml version="1.0" encoding="utf-8"?>
<table xmlns="http://schemas.openxmlformats.org/spreadsheetml/2006/main" id="49" name="Obj_CS48" displayName="Obj_CS4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0.xml><?xml version="1.0" encoding="utf-8"?>
<table xmlns="http://schemas.openxmlformats.org/spreadsheetml/2006/main" id="50" name="Obj_CS49" displayName="Obj_CS49" ref="A16:F25" headerRowCount="1" totalsRowCount="0" totalsRowShown="0">
  <autoFilter ref="A16:F25"/>
  <tableColumns count="6">
    <tableColumn id="1" name="Objetivo"/>
    <tableColumn id="2" name="Descripción"/>
    <tableColumn id="3" name="Finalizado"/>
    <tableColumn id="4" name="Responsable"/>
    <tableColumn id="5" name="Tiempo estimado"/>
    <tableColumn id="6" name="Tiempo total"/>
  </tableColumns>
</table>
</file>

<file path=xl/tables/table51.xml><?xml version="1.0" encoding="utf-8"?>
<table xmlns="http://schemas.openxmlformats.org/spreadsheetml/2006/main" id="51" name="Obj_CS50" displayName="Obj_CS5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2.xml><?xml version="1.0" encoding="utf-8"?>
<table xmlns="http://schemas.openxmlformats.org/spreadsheetml/2006/main" id="52" name="Obj_CS51" displayName="Obj_CS51"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3.xml><?xml version="1.0" encoding="utf-8"?>
<table xmlns="http://schemas.openxmlformats.org/spreadsheetml/2006/main" id="53" name="Obj_CS52" displayName="Obj_CS52"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4.xml><?xml version="1.0" encoding="utf-8"?>
<table xmlns="http://schemas.openxmlformats.org/spreadsheetml/2006/main" id="54" name="Obj_CS53" displayName="Obj_CS53"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5.xml><?xml version="1.0" encoding="utf-8"?>
<table xmlns="http://schemas.openxmlformats.org/spreadsheetml/2006/main" id="55" name="Obj_CS54" displayName="Obj_CS54"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6.xml><?xml version="1.0" encoding="utf-8"?>
<table xmlns="http://schemas.openxmlformats.org/spreadsheetml/2006/main" id="56" name="Obj_CS55" displayName="Obj_CS55"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7.xml><?xml version="1.0" encoding="utf-8"?>
<table xmlns="http://schemas.openxmlformats.org/spreadsheetml/2006/main" id="57" name="Obj_CS56" displayName="Obj_CS56"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58.xml><?xml version="1.0" encoding="utf-8"?>
<table xmlns="http://schemas.openxmlformats.org/spreadsheetml/2006/main" id="58" name="Obj_CS57" displayName="Obj_CS57" ref="A16:F24" headerRowCount="1" totalsRowCount="0" totalsRowShown="0">
  <autoFilter ref="A16:F24"/>
  <tableColumns count="6">
    <tableColumn id="1" name="Objetivo"/>
    <tableColumn id="2" name="Descripción"/>
    <tableColumn id="3" name="Finalizado"/>
    <tableColumn id="4" name="Responsable"/>
    <tableColumn id="5" name="Tiempo estimado"/>
    <tableColumn id="6" name="Tiempo total"/>
  </tableColumns>
</table>
</file>

<file path=xl/tables/table59.xml><?xml version="1.0" encoding="utf-8"?>
<table xmlns="http://schemas.openxmlformats.org/spreadsheetml/2006/main" id="59" name="Obj_CS58" displayName="Obj_CS58"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60.xml><?xml version="1.0" encoding="utf-8"?>
<table xmlns="http://schemas.openxmlformats.org/spreadsheetml/2006/main" id="60" name="Obj_CS59" displayName="Obj_CS59" ref="A16:F23" headerRowCount="1" totalsRowCount="0" totalsRowShown="0">
  <autoFilter ref="A16:F23"/>
  <tableColumns count="6">
    <tableColumn id="1" name="Objetivo"/>
    <tableColumn id="2" name="Descripción"/>
    <tableColumn id="3" name="Finalizado"/>
    <tableColumn id="4" name="Responsable"/>
    <tableColumn id="5" name="Tiempo estimado"/>
    <tableColumn id="6" name="Tiempo total"/>
  </tableColumns>
</table>
</file>

<file path=xl/tables/table61.xml><?xml version="1.0" encoding="utf-8"?>
<table xmlns="http://schemas.openxmlformats.org/spreadsheetml/2006/main" id="61" name="Obj_CS60" displayName="Obj_CS60"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ables/table62.xml><?xml version="1.0" encoding="utf-8"?>
<table xmlns="http://schemas.openxmlformats.org/spreadsheetml/2006/main" id="62" name="Obj_CS61" displayName="Obj_CS61" ref="A16:F32" headerRowCount="1" totalsRowCount="0" totalsRowShown="0">
  <autoFilter ref="A16:F32"/>
  <tableColumns count="6">
    <tableColumn id="1" name="Objetivo"/>
    <tableColumn id="2" name="Descripción"/>
    <tableColumn id="3" name="Finalizado"/>
    <tableColumn id="4" name="Responsable"/>
    <tableColumn id="5" name="Tiempo estimado"/>
    <tableColumn id="6" name="Tiempo total"/>
  </tableColumns>
</table>
</file>

<file path=xl/tables/table63.xml><?xml version="1.0" encoding="utf-8"?>
<table xmlns="http://schemas.openxmlformats.org/spreadsheetml/2006/main" id="63" name="Obj_CS62" displayName="Obj_CS62" ref="A16:F28" headerRowCount="1" totalsRowCount="0" totalsRowShown="0">
  <autoFilter ref="A16:F28"/>
  <tableColumns count="6">
    <tableColumn id="1" name="Objetivo"/>
    <tableColumn id="2" name="Descripción"/>
    <tableColumn id="3" name="Finalizado"/>
    <tableColumn id="4" name="Responsable"/>
    <tableColumn id="5" name="Tiempo estimado"/>
    <tableColumn id="6" name="Tiempo total"/>
  </tableColumns>
</table>
</file>

<file path=xl/tables/table64.xml><?xml version="1.0" encoding="utf-8"?>
<table xmlns="http://schemas.openxmlformats.org/spreadsheetml/2006/main" id="64" name="Obj_CS63" displayName="Obj_CS63" ref="A16:F27" headerRowCount="1" totalsRowCount="0" totalsRowShown="0">
  <autoFilter ref="A16:F27"/>
  <tableColumns count="6">
    <tableColumn id="1" name="Objetivo"/>
    <tableColumn id="2" name="Descripción"/>
    <tableColumn id="3" name="Finalizado"/>
    <tableColumn id="4" name="Responsable"/>
    <tableColumn id="5" name="Tiempo estimado"/>
    <tableColumn id="6" name="Tiempo total"/>
  </tableColumns>
</table>
</file>

<file path=xl/tables/table65.xml><?xml version="1.0" encoding="utf-8"?>
<table xmlns="http://schemas.openxmlformats.org/spreadsheetml/2006/main" id="65" name="Obj_CS64" displayName="Obj_CS64" ref="A16:F31" headerRowCount="1" totalsRowCount="0" totalsRowShown="0">
  <autoFilter ref="A16:F31"/>
  <tableColumns count="6">
    <tableColumn id="1" name="Objetivo"/>
    <tableColumn id="2" name="Descripción"/>
    <tableColumn id="3" name="Finalizado"/>
    <tableColumn id="4" name="Responsable"/>
    <tableColumn id="5" name="Tiempo estimado"/>
    <tableColumn id="6" name="Tiempo total"/>
  </tableColumns>
</table>
</file>

<file path=xl/tables/table66.xml><?xml version="1.0" encoding="utf-8"?>
<table xmlns="http://schemas.openxmlformats.org/spreadsheetml/2006/main" id="66" name="Obj_Plantilla" displayName="Obj_Plantilla" ref="A16:F17" headerRowCount="1" totalsRowCount="0" totalsRowShown="0">
  <autoFilter ref="A16:F17"/>
  <tableColumns count="6">
    <tableColumn id="1" name="Objetivo"/>
    <tableColumn id="2" name="Descripción"/>
    <tableColumn id="3" name="Finalizado"/>
    <tableColumn id="4" name="Responsable"/>
    <tableColumn id="5" name="Tiempo estimado"/>
    <tableColumn id="6" name="Tiempo tot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7.xml"/>
</Relationships>
</file>

<file path=xl/worksheets/_rels/sheet8.xml.rels><?xml version="1.0" encoding="UTF-8"?>
<Relationships xmlns="http://schemas.openxmlformats.org/package/2006/relationships"><Relationship Id="rId1" Type="http://schemas.openxmlformats.org/officeDocument/2006/relationships/table" Target="../tables/table8.xml"/>
</Relationships>
</file>

<file path=xl/worksheets/_rels/sheet9.xml.rels><?xml version="1.0" encoding="UTF-8"?>
<Relationships xmlns="http://schemas.openxmlformats.org/package/2006/relationships"><Relationship Id="rId1" Type="http://schemas.openxmlformats.org/officeDocument/2006/relationships/table" Target="../tables/table9.xml"/>
</Relationships>
</file>

<file path=xl/worksheets/_rels/sheet10.xml.rels><?xml version="1.0" encoding="UTF-8"?>
<Relationships xmlns="http://schemas.openxmlformats.org/package/2006/relationships"><Relationship Id="rId1" Type="http://schemas.openxmlformats.org/officeDocument/2006/relationships/table" Target="../tables/table10.xml"/>
</Relationships>
</file>

<file path=xl/worksheets/_rels/sheet11.xml.rels><?xml version="1.0" encoding="UTF-8"?>
<Relationships xmlns="http://schemas.openxmlformats.org/package/2006/relationships"><Relationship Id="rId1" Type="http://schemas.openxmlformats.org/officeDocument/2006/relationships/table" Target="../tables/table11.xml"/>
</Relationships>
</file>

<file path=xl/worksheets/_rels/sheet12.xml.rels><?xml version="1.0" encoding="UTF-8"?>
<Relationships xmlns="http://schemas.openxmlformats.org/package/2006/relationships"><Relationship Id="rId1" Type="http://schemas.openxmlformats.org/officeDocument/2006/relationships/table" Target="../tables/table12.xml"/>
</Relationships>
</file>

<file path=xl/worksheets/_rels/sheet13.xml.rels><?xml version="1.0" encoding="UTF-8"?>
<Relationships xmlns="http://schemas.openxmlformats.org/package/2006/relationships"><Relationship Id="rId1" Type="http://schemas.openxmlformats.org/officeDocument/2006/relationships/table" Target="../tables/table13.xml"/>
</Relationships>
</file>

<file path=xl/worksheets/_rels/sheet14.xml.rels><?xml version="1.0" encoding="UTF-8"?>
<Relationships xmlns="http://schemas.openxmlformats.org/package/2006/relationships"><Relationship Id="rId1" Type="http://schemas.openxmlformats.org/officeDocument/2006/relationships/table" Target="../tables/table14.xml"/>
</Relationships>
</file>

<file path=xl/worksheets/_rels/sheet15.xml.rels><?xml version="1.0" encoding="UTF-8"?>
<Relationships xmlns="http://schemas.openxmlformats.org/package/2006/relationships"><Relationship Id="rId1" Type="http://schemas.openxmlformats.org/officeDocument/2006/relationships/table" Target="../tables/table15.xml"/>
</Relationships>
</file>

<file path=xl/worksheets/_rels/sheet16.xml.rels><?xml version="1.0" encoding="UTF-8"?>
<Relationships xmlns="http://schemas.openxmlformats.org/package/2006/relationships"><Relationship Id="rId1" Type="http://schemas.openxmlformats.org/officeDocument/2006/relationships/table" Target="../tables/table16.xml"/>
</Relationships>
</file>

<file path=xl/worksheets/_rels/sheet17.xml.rels><?xml version="1.0" encoding="UTF-8"?>
<Relationships xmlns="http://schemas.openxmlformats.org/package/2006/relationships"><Relationship Id="rId1"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table" Target="../tables/table20.xml"/>
</Relationships>
</file>

<file path=xl/worksheets/_rels/sheet21.xml.rels><?xml version="1.0" encoding="UTF-8"?>
<Relationships xmlns="http://schemas.openxmlformats.org/package/2006/relationships"><Relationship Id="rId1" Type="http://schemas.openxmlformats.org/officeDocument/2006/relationships/table" Target="../tables/table21.xml"/>
</Relationships>
</file>

<file path=xl/worksheets/_rels/sheet22.xml.rels><?xml version="1.0" encoding="UTF-8"?>
<Relationships xmlns="http://schemas.openxmlformats.org/package/2006/relationships"><Relationship Id="rId1" Type="http://schemas.openxmlformats.org/officeDocument/2006/relationships/table" Target="../tables/table22.xml"/>
</Relationships>
</file>

<file path=xl/worksheets/_rels/sheet23.xml.rels><?xml version="1.0" encoding="UTF-8"?>
<Relationships xmlns="http://schemas.openxmlformats.org/package/2006/relationships"><Relationship Id="rId1" Type="http://schemas.openxmlformats.org/officeDocument/2006/relationships/table" Target="../tables/table23.xml"/>
</Relationships>
</file>

<file path=xl/worksheets/_rels/sheet24.xml.rels><?xml version="1.0" encoding="UTF-8"?>
<Relationships xmlns="http://schemas.openxmlformats.org/package/2006/relationships"><Relationship Id="rId1" Type="http://schemas.openxmlformats.org/officeDocument/2006/relationships/table" Target="../tables/table24.xml"/>
</Relationships>
</file>

<file path=xl/worksheets/_rels/sheet25.xml.rels><?xml version="1.0" encoding="UTF-8"?>
<Relationships xmlns="http://schemas.openxmlformats.org/package/2006/relationships"><Relationship Id="rId1" Type="http://schemas.openxmlformats.org/officeDocument/2006/relationships/table" Target="../tables/table25.xml"/>
</Relationships>
</file>

<file path=xl/worksheets/_rels/sheet26.xml.rels><?xml version="1.0" encoding="UTF-8"?>
<Relationships xmlns="http://schemas.openxmlformats.org/package/2006/relationships"><Relationship Id="rId1" Type="http://schemas.openxmlformats.org/officeDocument/2006/relationships/table" Target="../tables/table26.xml"/>
</Relationships>
</file>

<file path=xl/worksheets/_rels/sheet27.xml.rels><?xml version="1.0" encoding="UTF-8"?>
<Relationships xmlns="http://schemas.openxmlformats.org/package/2006/relationships"><Relationship Id="rId1" Type="http://schemas.openxmlformats.org/officeDocument/2006/relationships/table" Target="../tables/table27.xml"/>
</Relationships>
</file>

<file path=xl/worksheets/_rels/sheet28.xml.rels><?xml version="1.0" encoding="UTF-8"?>
<Relationships xmlns="http://schemas.openxmlformats.org/package/2006/relationships"><Relationship Id="rId1" Type="http://schemas.openxmlformats.org/officeDocument/2006/relationships/table" Target="../tables/table28.xml"/>
</Relationships>
</file>

<file path=xl/worksheets/_rels/sheet29.xml.rels><?xml version="1.0" encoding="UTF-8"?>
<Relationships xmlns="http://schemas.openxmlformats.org/package/2006/relationships"><Relationship Id="rId1" Type="http://schemas.openxmlformats.org/officeDocument/2006/relationships/table" Target="../tables/table29.xml"/>
</Relationships>
</file>

<file path=xl/worksheets/_rels/sheet30.xml.rels><?xml version="1.0" encoding="UTF-8"?>
<Relationships xmlns="http://schemas.openxmlformats.org/package/2006/relationships"><Relationship Id="rId1" Type="http://schemas.openxmlformats.org/officeDocument/2006/relationships/table" Target="../tables/table30.xml"/>
</Relationships>
</file>

<file path=xl/worksheets/_rels/sheet31.xml.rels><?xml version="1.0" encoding="UTF-8"?>
<Relationships xmlns="http://schemas.openxmlformats.org/package/2006/relationships"><Relationship Id="rId1" Type="http://schemas.openxmlformats.org/officeDocument/2006/relationships/table" Target="../tables/table31.xml"/>
</Relationships>
</file>

<file path=xl/worksheets/_rels/sheet32.xml.rels><?xml version="1.0" encoding="UTF-8"?>
<Relationships xmlns="http://schemas.openxmlformats.org/package/2006/relationships"><Relationship Id="rId1" Type="http://schemas.openxmlformats.org/officeDocument/2006/relationships/table" Target="../tables/table32.xml"/>
</Relationships>
</file>

<file path=xl/worksheets/_rels/sheet33.xml.rels><?xml version="1.0" encoding="UTF-8"?>
<Relationships xmlns="http://schemas.openxmlformats.org/package/2006/relationships"><Relationship Id="rId1" Type="http://schemas.openxmlformats.org/officeDocument/2006/relationships/table" Target="../tables/table33.xml"/>
</Relationships>
</file>

<file path=xl/worksheets/_rels/sheet34.xml.rels><?xml version="1.0" encoding="UTF-8"?>
<Relationships xmlns="http://schemas.openxmlformats.org/package/2006/relationships"><Relationship Id="rId1" Type="http://schemas.openxmlformats.org/officeDocument/2006/relationships/table" Target="../tables/table34.xml"/>
</Relationships>
</file>

<file path=xl/worksheets/_rels/sheet35.xml.rels><?xml version="1.0" encoding="UTF-8"?>
<Relationships xmlns="http://schemas.openxmlformats.org/package/2006/relationships"><Relationship Id="rId1" Type="http://schemas.openxmlformats.org/officeDocument/2006/relationships/table" Target="../tables/table35.xml"/>
</Relationships>
</file>

<file path=xl/worksheets/_rels/sheet36.xml.rels><?xml version="1.0" encoding="UTF-8"?>
<Relationships xmlns="http://schemas.openxmlformats.org/package/2006/relationships"><Relationship Id="rId1" Type="http://schemas.openxmlformats.org/officeDocument/2006/relationships/table" Target="../tables/table36.xml"/>
</Relationships>
</file>

<file path=xl/worksheets/_rels/sheet37.xml.rels><?xml version="1.0" encoding="UTF-8"?>
<Relationships xmlns="http://schemas.openxmlformats.org/package/2006/relationships"><Relationship Id="rId1" Type="http://schemas.openxmlformats.org/officeDocument/2006/relationships/table" Target="../tables/table37.xml"/>
</Relationships>
</file>

<file path=xl/worksheets/_rels/sheet38.xml.rels><?xml version="1.0" encoding="UTF-8"?>
<Relationships xmlns="http://schemas.openxmlformats.org/package/2006/relationships"><Relationship Id="rId1" Type="http://schemas.openxmlformats.org/officeDocument/2006/relationships/table" Target="../tables/table38.xml"/>
</Relationships>
</file>

<file path=xl/worksheets/_rels/sheet39.xml.rels><?xml version="1.0" encoding="UTF-8"?>
<Relationships xmlns="http://schemas.openxmlformats.org/package/2006/relationships"><Relationship Id="rId1" Type="http://schemas.openxmlformats.org/officeDocument/2006/relationships/table" Target="../tables/table39.xml"/>
</Relationships>
</file>

<file path=xl/worksheets/_rels/sheet40.xml.rels><?xml version="1.0" encoding="UTF-8"?>
<Relationships xmlns="http://schemas.openxmlformats.org/package/2006/relationships"><Relationship Id="rId1" Type="http://schemas.openxmlformats.org/officeDocument/2006/relationships/table" Target="../tables/table40.xml"/>
</Relationships>
</file>

<file path=xl/worksheets/_rels/sheet41.xml.rels><?xml version="1.0" encoding="UTF-8"?>
<Relationships xmlns="http://schemas.openxmlformats.org/package/2006/relationships"><Relationship Id="rId1" Type="http://schemas.openxmlformats.org/officeDocument/2006/relationships/table" Target="../tables/table41.xml"/>
</Relationships>
</file>

<file path=xl/worksheets/_rels/sheet42.xml.rels><?xml version="1.0" encoding="UTF-8"?>
<Relationships xmlns="http://schemas.openxmlformats.org/package/2006/relationships"><Relationship Id="rId1" Type="http://schemas.openxmlformats.org/officeDocument/2006/relationships/table" Target="../tables/table42.xml"/>
</Relationships>
</file>

<file path=xl/worksheets/_rels/sheet43.xml.rels><?xml version="1.0" encoding="UTF-8"?>
<Relationships xmlns="http://schemas.openxmlformats.org/package/2006/relationships"><Relationship Id="rId1" Type="http://schemas.openxmlformats.org/officeDocument/2006/relationships/table" Target="../tables/table43.xml"/>
</Relationships>
</file>

<file path=xl/worksheets/_rels/sheet44.xml.rels><?xml version="1.0" encoding="UTF-8"?>
<Relationships xmlns="http://schemas.openxmlformats.org/package/2006/relationships"><Relationship Id="rId1" Type="http://schemas.openxmlformats.org/officeDocument/2006/relationships/table" Target="../tables/table44.xml"/>
</Relationships>
</file>

<file path=xl/worksheets/_rels/sheet45.xml.rels><?xml version="1.0" encoding="UTF-8"?>
<Relationships xmlns="http://schemas.openxmlformats.org/package/2006/relationships"><Relationship Id="rId1" Type="http://schemas.openxmlformats.org/officeDocument/2006/relationships/table" Target="../tables/table45.xml"/>
</Relationships>
</file>

<file path=xl/worksheets/_rels/sheet46.xml.rels><?xml version="1.0" encoding="UTF-8"?>
<Relationships xmlns="http://schemas.openxmlformats.org/package/2006/relationships"><Relationship Id="rId1" Type="http://schemas.openxmlformats.org/officeDocument/2006/relationships/table" Target="../tables/table46.xml"/>
</Relationships>
</file>

<file path=xl/worksheets/_rels/sheet47.xml.rels><?xml version="1.0" encoding="UTF-8"?>
<Relationships xmlns="http://schemas.openxmlformats.org/package/2006/relationships"><Relationship Id="rId1" Type="http://schemas.openxmlformats.org/officeDocument/2006/relationships/table" Target="../tables/table47.xml"/>
</Relationships>
</file>

<file path=xl/worksheets/_rels/sheet48.xml.rels><?xml version="1.0" encoding="UTF-8"?>
<Relationships xmlns="http://schemas.openxmlformats.org/package/2006/relationships"><Relationship Id="rId1" Type="http://schemas.openxmlformats.org/officeDocument/2006/relationships/table" Target="../tables/table48.xml"/>
</Relationships>
</file>

<file path=xl/worksheets/_rels/sheet49.xml.rels><?xml version="1.0" encoding="UTF-8"?>
<Relationships xmlns="http://schemas.openxmlformats.org/package/2006/relationships"><Relationship Id="rId1" Type="http://schemas.openxmlformats.org/officeDocument/2006/relationships/table" Target="../tables/table49.xml"/>
</Relationships>
</file>

<file path=xl/worksheets/_rels/sheet50.xml.rels><?xml version="1.0" encoding="UTF-8"?>
<Relationships xmlns="http://schemas.openxmlformats.org/package/2006/relationships"><Relationship Id="rId1" Type="http://schemas.openxmlformats.org/officeDocument/2006/relationships/table" Target="../tables/table50.xml"/>
</Relationships>
</file>

<file path=xl/worksheets/_rels/sheet51.xml.rels><?xml version="1.0" encoding="UTF-8"?>
<Relationships xmlns="http://schemas.openxmlformats.org/package/2006/relationships"><Relationship Id="rId1" Type="http://schemas.openxmlformats.org/officeDocument/2006/relationships/table" Target="../tables/table51.xml"/>
</Relationships>
</file>

<file path=xl/worksheets/_rels/sheet52.xml.rels><?xml version="1.0" encoding="UTF-8"?>
<Relationships xmlns="http://schemas.openxmlformats.org/package/2006/relationships"><Relationship Id="rId1" Type="http://schemas.openxmlformats.org/officeDocument/2006/relationships/table" Target="../tables/table52.xml"/>
</Relationships>
</file>

<file path=xl/worksheets/_rels/sheet53.xml.rels><?xml version="1.0" encoding="UTF-8"?>
<Relationships xmlns="http://schemas.openxmlformats.org/package/2006/relationships"><Relationship Id="rId1" Type="http://schemas.openxmlformats.org/officeDocument/2006/relationships/table" Target="../tables/table53.xml"/>
</Relationships>
</file>

<file path=xl/worksheets/_rels/sheet54.xml.rels><?xml version="1.0" encoding="UTF-8"?>
<Relationships xmlns="http://schemas.openxmlformats.org/package/2006/relationships"><Relationship Id="rId1" Type="http://schemas.openxmlformats.org/officeDocument/2006/relationships/table" Target="../tables/table54.xml"/>
</Relationships>
</file>

<file path=xl/worksheets/_rels/sheet55.xml.rels><?xml version="1.0" encoding="UTF-8"?>
<Relationships xmlns="http://schemas.openxmlformats.org/package/2006/relationships"><Relationship Id="rId1" Type="http://schemas.openxmlformats.org/officeDocument/2006/relationships/table" Target="../tables/table55.xml"/>
</Relationships>
</file>

<file path=xl/worksheets/_rels/sheet56.xml.rels><?xml version="1.0" encoding="UTF-8"?>
<Relationships xmlns="http://schemas.openxmlformats.org/package/2006/relationships"><Relationship Id="rId1" Type="http://schemas.openxmlformats.org/officeDocument/2006/relationships/table" Target="../tables/table56.xml"/>
</Relationships>
</file>

<file path=xl/worksheets/_rels/sheet57.xml.rels><?xml version="1.0" encoding="UTF-8"?>
<Relationships xmlns="http://schemas.openxmlformats.org/package/2006/relationships"><Relationship Id="rId1" Type="http://schemas.openxmlformats.org/officeDocument/2006/relationships/table" Target="../tables/table57.xml"/>
</Relationships>
</file>

<file path=xl/worksheets/_rels/sheet58.xml.rels><?xml version="1.0" encoding="UTF-8"?>
<Relationships xmlns="http://schemas.openxmlformats.org/package/2006/relationships"><Relationship Id="rId1" Type="http://schemas.openxmlformats.org/officeDocument/2006/relationships/table" Target="../tables/table58.xml"/>
</Relationships>
</file>

<file path=xl/worksheets/_rels/sheet59.xml.rels><?xml version="1.0" encoding="UTF-8"?>
<Relationships xmlns="http://schemas.openxmlformats.org/package/2006/relationships"><Relationship Id="rId1" Type="http://schemas.openxmlformats.org/officeDocument/2006/relationships/table" Target="../tables/table59.xml"/>
</Relationships>
</file>

<file path=xl/worksheets/_rels/sheet60.xml.rels><?xml version="1.0" encoding="UTF-8"?>
<Relationships xmlns="http://schemas.openxmlformats.org/package/2006/relationships"><Relationship Id="rId1" Type="http://schemas.openxmlformats.org/officeDocument/2006/relationships/table" Target="../tables/table60.xml"/>
</Relationships>
</file>

<file path=xl/worksheets/_rels/sheet61.xml.rels><?xml version="1.0" encoding="UTF-8"?>
<Relationships xmlns="http://schemas.openxmlformats.org/package/2006/relationships"><Relationship Id="rId1" Type="http://schemas.openxmlformats.org/officeDocument/2006/relationships/table" Target="../tables/table61.xml"/>
</Relationships>
</file>

<file path=xl/worksheets/_rels/sheet62.xml.rels><?xml version="1.0" encoding="UTF-8"?>
<Relationships xmlns="http://schemas.openxmlformats.org/package/2006/relationships"><Relationship Id="rId1" Type="http://schemas.openxmlformats.org/officeDocument/2006/relationships/table" Target="../tables/table62.xml"/>
</Relationships>
</file>

<file path=xl/worksheets/_rels/sheet63.xml.rels><?xml version="1.0" encoding="UTF-8"?>
<Relationships xmlns="http://schemas.openxmlformats.org/package/2006/relationships"><Relationship Id="rId1" Type="http://schemas.openxmlformats.org/officeDocument/2006/relationships/table" Target="../tables/table63.xml"/>
</Relationships>
</file>

<file path=xl/worksheets/_rels/sheet64.xml.rels><?xml version="1.0" encoding="UTF-8"?>
<Relationships xmlns="http://schemas.openxmlformats.org/package/2006/relationships"><Relationship Id="rId1" Type="http://schemas.openxmlformats.org/officeDocument/2006/relationships/table" Target="../tables/table64.xml"/>
</Relationships>
</file>

<file path=xl/worksheets/_rels/sheet65.xml.rels><?xml version="1.0" encoding="UTF-8"?>
<Relationships xmlns="http://schemas.openxmlformats.org/package/2006/relationships"><Relationship Id="rId1" Type="http://schemas.openxmlformats.org/officeDocument/2006/relationships/table" Target="../tables/table65.xml"/>
</Relationships>
</file>

<file path=xl/worksheets/_rels/sheet66.xml.rels><?xml version="1.0" encoding="UTF-8"?>
<Relationships xmlns="http://schemas.openxmlformats.org/package/2006/relationships"><Relationship Id="rId1" Type="http://schemas.openxmlformats.org/officeDocument/2006/relationships/table" Target="../tables/table6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9765625" defaultRowHeight="15" customHeight="false" zeroHeight="false" outlineLevelRow="0" outlineLevelCol="0"/>
  <cols>
    <col collapsed="false" customWidth="true" hidden="false" outlineLevel="0" max="1" min="1" style="0" width="10"/>
    <col collapsed="false" customWidth="true" hidden="false" outlineLevel="0" max="2" min="2" style="0" width="52"/>
    <col collapsed="false" customWidth="true" hidden="false" outlineLevel="0" max="3" min="3" style="0" width="13"/>
    <col collapsed="false" customWidth="true" hidden="false" outlineLevel="0" max="4" min="4" style="0" width="15.15"/>
    <col collapsed="false" customWidth="true" hidden="false" outlineLevel="0" max="5" min="5" style="0" width="25.29"/>
    <col collapsed="false" customWidth="true" hidden="false" outlineLevel="0" max="6" min="6" style="0" width="18"/>
    <col collapsed="false" customWidth="true" hidden="false" outlineLevel="0" max="7" min="7" style="0" width="14"/>
  </cols>
  <sheetData>
    <row r="1" customFormat="false" ht="24" hidden="false" customHeight="true" outlineLevel="0" collapsed="false">
      <c r="A1" s="1" t="s">
        <v>0</v>
      </c>
      <c r="F1" s="2" t="s">
        <v>1</v>
      </c>
      <c r="G1" s="3" t="str">
        <f aca="false">"CS-"&amp;TEXT(IFERROR(_xlfn.AGGREGATE(14,6,--MID(Historias[Ref],4,9),1),0)+1,"00")</f>
        <v>CS-61</v>
      </c>
    </row>
    <row r="2" customFormat="false" ht="30" hidden="false" customHeight="true" outlineLevel="0" collapsed="false">
      <c r="A2" s="4" t="s">
        <v>2</v>
      </c>
      <c r="B2" s="4"/>
      <c r="C2" s="4"/>
      <c r="D2" s="4"/>
      <c r="E2" s="4"/>
      <c r="F2" s="4"/>
      <c r="G2" s="4"/>
    </row>
    <row r="3" customFormat="false" ht="15" hidden="false" customHeight="false" outlineLevel="0" collapsed="false">
      <c r="A3" s="5" t="s">
        <v>3</v>
      </c>
      <c r="B3" s="5" t="s">
        <v>4</v>
      </c>
      <c r="C3" s="5" t="s">
        <v>5</v>
      </c>
      <c r="D3" s="5" t="s">
        <v>6</v>
      </c>
      <c r="E3" s="5" t="s">
        <v>7</v>
      </c>
      <c r="F3" s="5" t="s">
        <v>8</v>
      </c>
      <c r="G3" s="5" t="s">
        <v>9</v>
      </c>
    </row>
    <row r="4" customFormat="false" ht="18" hidden="false" customHeight="true" outlineLevel="0" collapsed="false">
      <c r="A4" s="6" t="s">
        <v>10</v>
      </c>
      <c r="B4" s="7" t="s">
        <v>11</v>
      </c>
      <c r="C4" s="6"/>
      <c r="D4" s="6"/>
      <c r="E4" s="8"/>
      <c r="F4" s="8" t="n">
        <f aca="false">IF(ISREF(INDIRECT("'"&amp;Historias[[#This Row],[Ref]]&amp;"'!A1")),SUM(INDIRECT("'"&amp;Historias[[#This Row],[Ref]]&amp;"'!F:F"))/60,"")</f>
        <v>0</v>
      </c>
      <c r="G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 customFormat="false" ht="18" hidden="false" customHeight="true" outlineLevel="0" collapsed="false">
      <c r="A5" s="6" t="s">
        <v>12</v>
      </c>
      <c r="B5" s="7" t="s">
        <v>13</v>
      </c>
      <c r="C5" s="6"/>
      <c r="D5" s="6"/>
      <c r="E5" s="8"/>
      <c r="F5" s="8" t="n">
        <f aca="false">IF(ISREF(INDIRECT("'"&amp;Historias[[#This Row],[Ref]]&amp;"'!A1")),SUM(INDIRECT("'"&amp;Historias[[#This Row],[Ref]]&amp;"'!F:F"))/60,"")</f>
        <v>0</v>
      </c>
      <c r="G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 customFormat="false" ht="18" hidden="false" customHeight="true" outlineLevel="0" collapsed="false">
      <c r="A6" s="6" t="s">
        <v>14</v>
      </c>
      <c r="B6" s="7" t="s">
        <v>15</v>
      </c>
      <c r="C6" s="6"/>
      <c r="D6" s="6"/>
      <c r="E6" s="8"/>
      <c r="F6" s="8" t="n">
        <f aca="false">IF(ISREF(INDIRECT("'"&amp;Historias[[#This Row],[Ref]]&amp;"'!A1")),SUM(INDIRECT("'"&amp;Historias[[#This Row],[Ref]]&amp;"'!F:F"))/60,"")</f>
        <v>0</v>
      </c>
      <c r="G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7" customFormat="false" ht="18" hidden="false" customHeight="true" outlineLevel="0" collapsed="false">
      <c r="A7" s="6" t="s">
        <v>16</v>
      </c>
      <c r="B7" s="7" t="s">
        <v>17</v>
      </c>
      <c r="C7" s="6" t="s">
        <v>18</v>
      </c>
      <c r="D7" s="6" t="s">
        <v>19</v>
      </c>
      <c r="E7" s="8" t="n">
        <v>5</v>
      </c>
      <c r="F7" s="8" t="n">
        <f aca="false">IF(ISREF(INDIRECT("'"&amp;Historias[[#This Row],[Ref]]&amp;"'!A1")),SUM(INDIRECT("'"&amp;Historias[[#This Row],[Ref]]&amp;"'!F:F"))/60,"")</f>
        <v>0</v>
      </c>
      <c r="G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8" customFormat="false" ht="18" hidden="false" customHeight="true" outlineLevel="0" collapsed="false">
      <c r="A8" s="6" t="s">
        <v>20</v>
      </c>
      <c r="B8" s="7" t="s">
        <v>21</v>
      </c>
      <c r="C8" s="6"/>
      <c r="D8" s="6"/>
      <c r="E8" s="8"/>
      <c r="F8" s="8" t="n">
        <f aca="false">IF(ISREF(INDIRECT("'"&amp;Historias[[#This Row],[Ref]]&amp;"'!A1")),SUM(INDIRECT("'"&amp;Historias[[#This Row],[Ref]]&amp;"'!F:F"))/60,"")</f>
        <v>0</v>
      </c>
      <c r="G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9" customFormat="false" ht="18" hidden="false" customHeight="true" outlineLevel="0" collapsed="false">
      <c r="A9" s="6" t="s">
        <v>22</v>
      </c>
      <c r="B9" s="7" t="s">
        <v>23</v>
      </c>
      <c r="C9" s="6"/>
      <c r="D9" s="6" t="s">
        <v>24</v>
      </c>
      <c r="E9" s="8"/>
      <c r="F9" s="8" t="n">
        <f aca="false">IF(ISREF(INDIRECT("'"&amp;Historias[[#This Row],[Ref]]&amp;"'!A1")),SUM(INDIRECT("'"&amp;Historias[[#This Row],[Ref]]&amp;"'!F:F"))/60,"")</f>
        <v>0</v>
      </c>
      <c r="G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0" customFormat="false" ht="18" hidden="false" customHeight="true" outlineLevel="0" collapsed="false">
      <c r="A10" s="6" t="s">
        <v>25</v>
      </c>
      <c r="B10" s="7" t="s">
        <v>26</v>
      </c>
      <c r="C10" s="6" t="s">
        <v>18</v>
      </c>
      <c r="D10" s="6" t="s">
        <v>19</v>
      </c>
      <c r="E10" s="8" t="n">
        <v>4</v>
      </c>
      <c r="F10" s="8" t="n">
        <f aca="false">IF(ISREF(INDIRECT("'"&amp;Historias[[#This Row],[Ref]]&amp;"'!A1")),SUM(INDIRECT("'"&amp;Historias[[#This Row],[Ref]]&amp;"'!F:F"))/60,"")</f>
        <v>0</v>
      </c>
      <c r="G1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1" customFormat="false" ht="18" hidden="false" customHeight="true" outlineLevel="0" collapsed="false">
      <c r="A11" s="6" t="s">
        <v>27</v>
      </c>
      <c r="B11" s="7" t="s">
        <v>28</v>
      </c>
      <c r="C11" s="6"/>
      <c r="D11" s="6"/>
      <c r="E11" s="8"/>
      <c r="F11" s="8" t="n">
        <f aca="false">IF(ISREF(INDIRECT("'"&amp;Historias[[#This Row],[Ref]]&amp;"'!A1")),SUM(INDIRECT("'"&amp;Historias[[#This Row],[Ref]]&amp;"'!F:F"))/60,"")</f>
        <v>0</v>
      </c>
      <c r="G1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2" customFormat="false" ht="18" hidden="false" customHeight="true" outlineLevel="0" collapsed="false">
      <c r="A12" s="6" t="s">
        <v>29</v>
      </c>
      <c r="B12" s="7" t="s">
        <v>30</v>
      </c>
      <c r="C12" s="6"/>
      <c r="D12" s="6"/>
      <c r="E12" s="8"/>
      <c r="F12" s="8" t="n">
        <f aca="false">IF(ISREF(INDIRECT("'"&amp;Historias[[#This Row],[Ref]]&amp;"'!A1")),SUM(INDIRECT("'"&amp;Historias[[#This Row],[Ref]]&amp;"'!F:F"))/60,"")</f>
        <v>0</v>
      </c>
      <c r="G1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3" customFormat="false" ht="18" hidden="false" customHeight="true" outlineLevel="0" collapsed="false">
      <c r="A13" s="6" t="s">
        <v>31</v>
      </c>
      <c r="B13" s="7" t="s">
        <v>32</v>
      </c>
      <c r="C13" s="6" t="s">
        <v>33</v>
      </c>
      <c r="D13" s="6" t="s">
        <v>19</v>
      </c>
      <c r="E13" s="8" t="n">
        <v>7</v>
      </c>
      <c r="F13" s="8" t="n">
        <f aca="false">IF(ISREF(INDIRECT("'"&amp;Historias[[#This Row],[Ref]]&amp;"'!A1")),SUM(INDIRECT("'"&amp;Historias[[#This Row],[Ref]]&amp;"'!F:F"))/60,"")</f>
        <v>0</v>
      </c>
      <c r="G1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4" customFormat="false" ht="18" hidden="false" customHeight="true" outlineLevel="0" collapsed="false">
      <c r="A14" s="6" t="s">
        <v>34</v>
      </c>
      <c r="B14" s="7" t="s">
        <v>35</v>
      </c>
      <c r="C14" s="6" t="s">
        <v>33</v>
      </c>
      <c r="D14" s="6" t="s">
        <v>36</v>
      </c>
      <c r="E14" s="8" t="n">
        <v>20</v>
      </c>
      <c r="F14" s="8" t="n">
        <f aca="false">IF(ISREF(INDIRECT("'"&amp;Historias[[#This Row],[Ref]]&amp;"'!A1")),SUM(INDIRECT("'"&amp;Historias[[#This Row],[Ref]]&amp;"'!F:F"))/60,"")</f>
        <v>0</v>
      </c>
      <c r="G1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5" customFormat="false" ht="18" hidden="false" customHeight="true" outlineLevel="0" collapsed="false">
      <c r="A15" s="6" t="s">
        <v>37</v>
      </c>
      <c r="B15" s="7" t="s">
        <v>38</v>
      </c>
      <c r="C15" s="6"/>
      <c r="D15" s="6"/>
      <c r="E15" s="8"/>
      <c r="F15" s="8" t="n">
        <f aca="false">IF(ISREF(INDIRECT("'"&amp;Historias[[#This Row],[Ref]]&amp;"'!A1")),SUM(INDIRECT("'"&amp;Historias[[#This Row],[Ref]]&amp;"'!F:F"))/60,"")</f>
        <v>0</v>
      </c>
      <c r="G1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6" customFormat="false" ht="18" hidden="false" customHeight="true" outlineLevel="0" collapsed="false">
      <c r="A16" s="6" t="s">
        <v>39</v>
      </c>
      <c r="B16" s="7" t="s">
        <v>40</v>
      </c>
      <c r="C16" s="6" t="s">
        <v>18</v>
      </c>
      <c r="D16" s="6" t="s">
        <v>41</v>
      </c>
      <c r="E16" s="8" t="n">
        <v>20</v>
      </c>
      <c r="F16" s="8" t="n">
        <f aca="false">IF(ISREF(INDIRECT("'"&amp;Historias[[#This Row],[Ref]]&amp;"'!A1")),SUM(INDIRECT("'"&amp;Historias[[#This Row],[Ref]]&amp;"'!F:F"))/60,"")</f>
        <v>0</v>
      </c>
      <c r="G1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7" customFormat="false" ht="18" hidden="false" customHeight="true" outlineLevel="0" collapsed="false">
      <c r="A17" s="6" t="s">
        <v>42</v>
      </c>
      <c r="B17" s="7" t="s">
        <v>43</v>
      </c>
      <c r="C17" s="6" t="s">
        <v>44</v>
      </c>
      <c r="D17" s="6" t="s">
        <v>36</v>
      </c>
      <c r="E17" s="8" t="n">
        <v>20</v>
      </c>
      <c r="F17" s="8" t="n">
        <f aca="false">IF(ISREF(INDIRECT("'"&amp;Historias[[#This Row],[Ref]]&amp;"'!A1")),SUM(INDIRECT("'"&amp;Historias[[#This Row],[Ref]]&amp;"'!F:F"))/60,"")</f>
        <v>0</v>
      </c>
      <c r="G1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8" customFormat="false" ht="18" hidden="false" customHeight="true" outlineLevel="0" collapsed="false">
      <c r="A18" s="6" t="s">
        <v>45</v>
      </c>
      <c r="B18" s="7" t="s">
        <v>46</v>
      </c>
      <c r="C18" s="6"/>
      <c r="D18" s="6"/>
      <c r="E18" s="8"/>
      <c r="F18" s="8" t="n">
        <f aca="false">IF(ISREF(INDIRECT("'"&amp;Historias[[#This Row],[Ref]]&amp;"'!A1")),SUM(INDIRECT("'"&amp;Historias[[#This Row],[Ref]]&amp;"'!F:F"))/60,"")</f>
        <v>0</v>
      </c>
      <c r="G1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9" customFormat="false" ht="18" hidden="false" customHeight="true" outlineLevel="0" collapsed="false">
      <c r="A19" s="6" t="s">
        <v>47</v>
      </c>
      <c r="B19" s="7" t="s">
        <v>48</v>
      </c>
      <c r="C19" s="6"/>
      <c r="D19" s="6"/>
      <c r="E19" s="8"/>
      <c r="F19" s="8" t="n">
        <f aca="false">IF(ISREF(INDIRECT("'"&amp;Historias[[#This Row],[Ref]]&amp;"'!A1")),SUM(INDIRECT("'"&amp;Historias[[#This Row],[Ref]]&amp;"'!F:F"))/60,"")</f>
        <v>0</v>
      </c>
      <c r="G1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0" customFormat="false" ht="18" hidden="false" customHeight="true" outlineLevel="0" collapsed="false">
      <c r="A20" s="6" t="s">
        <v>49</v>
      </c>
      <c r="B20" s="7" t="s">
        <v>50</v>
      </c>
      <c r="C20" s="6" t="s">
        <v>51</v>
      </c>
      <c r="D20" s="6" t="s">
        <v>41</v>
      </c>
      <c r="E20" s="8" t="n">
        <v>40</v>
      </c>
      <c r="F20" s="8" t="n">
        <f aca="false">IF(ISREF(INDIRECT("'"&amp;Historias[[#This Row],[Ref]]&amp;"'!A1")),SUM(INDIRECT("'"&amp;Historias[[#This Row],[Ref]]&amp;"'!F:F"))/60,"")</f>
        <v>0</v>
      </c>
      <c r="G2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1" customFormat="false" ht="18" hidden="false" customHeight="true" outlineLevel="0" collapsed="false">
      <c r="A21" s="6" t="s">
        <v>52</v>
      </c>
      <c r="B21" s="7" t="s">
        <v>53</v>
      </c>
      <c r="C21" s="6"/>
      <c r="D21" s="6"/>
      <c r="E21" s="8"/>
      <c r="F21" s="8" t="n">
        <f aca="false">IF(ISREF(INDIRECT("'"&amp;Historias[[#This Row],[Ref]]&amp;"'!A1")),SUM(INDIRECT("'"&amp;Historias[[#This Row],[Ref]]&amp;"'!F:F"))/60,"")</f>
        <v>0</v>
      </c>
      <c r="G2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2" customFormat="false" ht="18" hidden="false" customHeight="true" outlineLevel="0" collapsed="false">
      <c r="A22" s="6" t="s">
        <v>54</v>
      </c>
      <c r="B22" s="7" t="s">
        <v>55</v>
      </c>
      <c r="C22" s="6"/>
      <c r="D22" s="6"/>
      <c r="E22" s="8"/>
      <c r="F22" s="8" t="n">
        <f aca="false">IF(ISREF(INDIRECT("'"&amp;Historias[[#This Row],[Ref]]&amp;"'!A1")),SUM(INDIRECT("'"&amp;Historias[[#This Row],[Ref]]&amp;"'!F:F"))/60,"")</f>
        <v>0</v>
      </c>
      <c r="G2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3" customFormat="false" ht="18" hidden="false" customHeight="true" outlineLevel="0" collapsed="false">
      <c r="A23" s="6" t="s">
        <v>56</v>
      </c>
      <c r="B23" s="7" t="s">
        <v>57</v>
      </c>
      <c r="C23" s="6" t="s">
        <v>51</v>
      </c>
      <c r="D23" s="6" t="s">
        <v>19</v>
      </c>
      <c r="E23" s="8" t="n">
        <v>5</v>
      </c>
      <c r="F23" s="8" t="n">
        <f aca="false">IF(ISREF(INDIRECT("'"&amp;Historias[[#This Row],[Ref]]&amp;"'!A1")),SUM(INDIRECT("'"&amp;Historias[[#This Row],[Ref]]&amp;"'!F:F"))/60,"")</f>
        <v>0</v>
      </c>
      <c r="G2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4" customFormat="false" ht="18" hidden="false" customHeight="true" outlineLevel="0" collapsed="false">
      <c r="A24" s="6" t="s">
        <v>58</v>
      </c>
      <c r="B24" s="7" t="s">
        <v>59</v>
      </c>
      <c r="C24" s="6"/>
      <c r="D24" s="6"/>
      <c r="E24" s="8"/>
      <c r="F24" s="8" t="n">
        <f aca="false">IF(ISREF(INDIRECT("'"&amp;Historias[[#This Row],[Ref]]&amp;"'!A1")),SUM(INDIRECT("'"&amp;Historias[[#This Row],[Ref]]&amp;"'!F:F"))/60,"")</f>
        <v>0</v>
      </c>
      <c r="G2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5" customFormat="false" ht="18" hidden="false" customHeight="true" outlineLevel="0" collapsed="false">
      <c r="A25" s="6" t="s">
        <v>60</v>
      </c>
      <c r="B25" s="7" t="s">
        <v>61</v>
      </c>
      <c r="C25" s="6" t="s">
        <v>51</v>
      </c>
      <c r="D25" s="6"/>
      <c r="E25" s="8" t="n">
        <v>7</v>
      </c>
      <c r="F25" s="8" t="n">
        <f aca="false">IF(ISREF(INDIRECT("'"&amp;Historias[[#This Row],[Ref]]&amp;"'!A1")),SUM(INDIRECT("'"&amp;Historias[[#This Row],[Ref]]&amp;"'!F:F"))/60,"")</f>
        <v>0</v>
      </c>
      <c r="G2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6" customFormat="false" ht="18" hidden="false" customHeight="true" outlineLevel="0" collapsed="false">
      <c r="A26" s="6" t="s">
        <v>62</v>
      </c>
      <c r="B26" s="7" t="s">
        <v>63</v>
      </c>
      <c r="C26" s="6"/>
      <c r="D26" s="6"/>
      <c r="E26" s="8"/>
      <c r="F26" s="8" t="n">
        <f aca="false">IF(ISREF(INDIRECT("'"&amp;Historias[[#This Row],[Ref]]&amp;"'!A1")),SUM(INDIRECT("'"&amp;Historias[[#This Row],[Ref]]&amp;"'!F:F"))/60,"")</f>
        <v>0</v>
      </c>
      <c r="G2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7" customFormat="false" ht="18" hidden="false" customHeight="true" outlineLevel="0" collapsed="false">
      <c r="A27" s="6" t="s">
        <v>64</v>
      </c>
      <c r="B27" s="7" t="s">
        <v>65</v>
      </c>
      <c r="C27" s="6" t="s">
        <v>33</v>
      </c>
      <c r="D27" s="6"/>
      <c r="E27" s="8" t="n">
        <v>8</v>
      </c>
      <c r="F27" s="8" t="n">
        <f aca="false">IF(ISREF(INDIRECT("'"&amp;Historias[[#This Row],[Ref]]&amp;"'!A1")),SUM(INDIRECT("'"&amp;Historias[[#This Row],[Ref]]&amp;"'!F:F"))/60,"")</f>
        <v>0</v>
      </c>
      <c r="G2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8" customFormat="false" ht="18" hidden="false" customHeight="true" outlineLevel="0" collapsed="false">
      <c r="A28" s="6" t="s">
        <v>66</v>
      </c>
      <c r="B28" s="7" t="s">
        <v>67</v>
      </c>
      <c r="C28" s="6" t="s">
        <v>51</v>
      </c>
      <c r="D28" s="6"/>
      <c r="E28" s="8" t="n">
        <v>10</v>
      </c>
      <c r="F28" s="8" t="n">
        <f aca="false">IF(ISREF(INDIRECT("'"&amp;Historias[[#This Row],[Ref]]&amp;"'!A1")),SUM(INDIRECT("'"&amp;Historias[[#This Row],[Ref]]&amp;"'!F:F"))/60,"")</f>
        <v>0</v>
      </c>
      <c r="G2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9" customFormat="false" ht="18" hidden="false" customHeight="true" outlineLevel="0" collapsed="false">
      <c r="A29" s="6" t="s">
        <v>68</v>
      </c>
      <c r="B29" s="7" t="s">
        <v>69</v>
      </c>
      <c r="C29" s="6" t="s">
        <v>51</v>
      </c>
      <c r="D29" s="6" t="s">
        <v>36</v>
      </c>
      <c r="E29" s="8" t="n">
        <v>20</v>
      </c>
      <c r="F29" s="8" t="n">
        <f aca="false">IF(ISREF(INDIRECT("'"&amp;Historias[[#This Row],[Ref]]&amp;"'!A1")),SUM(INDIRECT("'"&amp;Historias[[#This Row],[Ref]]&amp;"'!F:F"))/60,"")</f>
        <v>0</v>
      </c>
      <c r="G2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0" customFormat="false" ht="18" hidden="false" customHeight="true" outlineLevel="0" collapsed="false">
      <c r="A30" s="6" t="s">
        <v>70</v>
      </c>
      <c r="B30" s="7" t="s">
        <v>71</v>
      </c>
      <c r="C30" s="6" t="s">
        <v>51</v>
      </c>
      <c r="D30" s="6" t="s">
        <v>19</v>
      </c>
      <c r="E30" s="8" t="n">
        <v>13</v>
      </c>
      <c r="F30" s="8" t="n">
        <f aca="false">IF(ISREF(INDIRECT("'"&amp;Historias[[#This Row],[Ref]]&amp;"'!A1")),SUM(INDIRECT("'"&amp;Historias[[#This Row],[Ref]]&amp;"'!F:F"))/60,"")</f>
        <v>0</v>
      </c>
      <c r="G3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1" customFormat="false" ht="18" hidden="false" customHeight="true" outlineLevel="0" collapsed="false">
      <c r="A31" s="6" t="s">
        <v>72</v>
      </c>
      <c r="B31" s="7" t="s">
        <v>73</v>
      </c>
      <c r="C31" s="6" t="s">
        <v>33</v>
      </c>
      <c r="D31" s="6"/>
      <c r="E31" s="8" t="n">
        <v>6</v>
      </c>
      <c r="F31" s="8" t="n">
        <f aca="false">IF(ISREF(INDIRECT("'"&amp;Historias[[#This Row],[Ref]]&amp;"'!A1")),SUM(INDIRECT("'"&amp;Historias[[#This Row],[Ref]]&amp;"'!F:F"))/60,"")</f>
        <v>0</v>
      </c>
      <c r="G3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2" customFormat="false" ht="18" hidden="false" customHeight="true" outlineLevel="0" collapsed="false">
      <c r="A32" s="6" t="s">
        <v>74</v>
      </c>
      <c r="B32" s="7" t="s">
        <v>75</v>
      </c>
      <c r="C32" s="6"/>
      <c r="D32" s="6" t="s">
        <v>41</v>
      </c>
      <c r="E32" s="8"/>
      <c r="F32" s="8" t="n">
        <f aca="false">IF(ISREF(INDIRECT("'"&amp;Historias[[#This Row],[Ref]]&amp;"'!A1")),SUM(INDIRECT("'"&amp;Historias[[#This Row],[Ref]]&amp;"'!F:F"))/60,"")</f>
        <v>0</v>
      </c>
      <c r="G3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3" customFormat="false" ht="18" hidden="false" customHeight="true" outlineLevel="0" collapsed="false">
      <c r="A33" s="6" t="s">
        <v>76</v>
      </c>
      <c r="B33" s="7" t="s">
        <v>77</v>
      </c>
      <c r="C33" s="6" t="s">
        <v>18</v>
      </c>
      <c r="D33" s="6" t="s">
        <v>36</v>
      </c>
      <c r="E33" s="8" t="n">
        <v>7</v>
      </c>
      <c r="F33" s="8" t="n">
        <f aca="false">IF(ISREF(INDIRECT("'"&amp;Historias[[#This Row],[Ref]]&amp;"'!A1")),SUM(INDIRECT("'"&amp;Historias[[#This Row],[Ref]]&amp;"'!F:F"))/60,"")</f>
        <v>0</v>
      </c>
      <c r="G3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4" customFormat="false" ht="18" hidden="false" customHeight="true" outlineLevel="0" collapsed="false">
      <c r="A34" s="6" t="s">
        <v>78</v>
      </c>
      <c r="B34" s="7" t="s">
        <v>79</v>
      </c>
      <c r="C34" s="6"/>
      <c r="D34" s="6"/>
      <c r="E34" s="8"/>
      <c r="F34" s="8" t="n">
        <f aca="false">IF(ISREF(INDIRECT("'"&amp;Historias[[#This Row],[Ref]]&amp;"'!A1")),SUM(INDIRECT("'"&amp;Historias[[#This Row],[Ref]]&amp;"'!F:F"))/60,"")</f>
        <v>0</v>
      </c>
      <c r="G3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5" customFormat="false" ht="18" hidden="false" customHeight="true" outlineLevel="0" collapsed="false">
      <c r="A35" s="6" t="s">
        <v>80</v>
      </c>
      <c r="B35" s="7" t="s">
        <v>81</v>
      </c>
      <c r="C35" s="6" t="s">
        <v>33</v>
      </c>
      <c r="D35" s="6" t="s">
        <v>19</v>
      </c>
      <c r="E35" s="8" t="n">
        <v>8</v>
      </c>
      <c r="F35" s="8" t="n">
        <f aca="false">IF(ISREF(INDIRECT("'"&amp;Historias[[#This Row],[Ref]]&amp;"'!A1")),SUM(INDIRECT("'"&amp;Historias[[#This Row],[Ref]]&amp;"'!F:F"))/60,"")</f>
        <v>0</v>
      </c>
      <c r="G3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6" customFormat="false" ht="18" hidden="false" customHeight="true" outlineLevel="0" collapsed="false">
      <c r="A36" s="6" t="s">
        <v>82</v>
      </c>
      <c r="B36" s="7" t="s">
        <v>83</v>
      </c>
      <c r="C36" s="6" t="s">
        <v>18</v>
      </c>
      <c r="D36" s="6" t="s">
        <v>36</v>
      </c>
      <c r="E36" s="8" t="n">
        <v>4</v>
      </c>
      <c r="F36" s="8" t="n">
        <f aca="false">IF(ISREF(INDIRECT("'"&amp;Historias[[#This Row],[Ref]]&amp;"'!A1")),SUM(INDIRECT("'"&amp;Historias[[#This Row],[Ref]]&amp;"'!F:F"))/60,"")</f>
        <v>0</v>
      </c>
      <c r="G3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7" customFormat="false" ht="18" hidden="false" customHeight="true" outlineLevel="0" collapsed="false">
      <c r="A37" s="6" t="s">
        <v>84</v>
      </c>
      <c r="B37" s="7" t="s">
        <v>85</v>
      </c>
      <c r="C37" s="6"/>
      <c r="D37" s="6"/>
      <c r="E37" s="8"/>
      <c r="F37" s="8" t="n">
        <f aca="false">IF(ISREF(INDIRECT("'"&amp;Historias[[#This Row],[Ref]]&amp;"'!A1")),SUM(INDIRECT("'"&amp;Historias[[#This Row],[Ref]]&amp;"'!F:F"))/60,"")</f>
        <v>0</v>
      </c>
      <c r="G3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8" customFormat="false" ht="18" hidden="false" customHeight="true" outlineLevel="0" collapsed="false">
      <c r="A38" s="6" t="s">
        <v>86</v>
      </c>
      <c r="B38" s="7" t="s">
        <v>87</v>
      </c>
      <c r="C38" s="6" t="s">
        <v>51</v>
      </c>
      <c r="D38" s="6" t="s">
        <v>36</v>
      </c>
      <c r="E38" s="8" t="n">
        <v>8</v>
      </c>
      <c r="F38" s="8" t="n">
        <f aca="false">IF(ISREF(INDIRECT("'"&amp;Historias[[#This Row],[Ref]]&amp;"'!A1")),SUM(INDIRECT("'"&amp;Historias[[#This Row],[Ref]]&amp;"'!F:F"))/60,"")</f>
        <v>0</v>
      </c>
      <c r="G3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9" customFormat="false" ht="18" hidden="false" customHeight="true" outlineLevel="0" collapsed="false">
      <c r="A39" s="6" t="s">
        <v>88</v>
      </c>
      <c r="B39" s="7" t="s">
        <v>89</v>
      </c>
      <c r="C39" s="6" t="s">
        <v>18</v>
      </c>
      <c r="D39" s="6" t="s">
        <v>19</v>
      </c>
      <c r="E39" s="8" t="n">
        <v>6</v>
      </c>
      <c r="F39" s="8" t="n">
        <f aca="false">IF(ISREF(INDIRECT("'"&amp;Historias[[#This Row],[Ref]]&amp;"'!A1")),SUM(INDIRECT("'"&amp;Historias[[#This Row],[Ref]]&amp;"'!F:F"))/60,"")</f>
        <v>0</v>
      </c>
      <c r="G3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0" customFormat="false" ht="18" hidden="false" customHeight="true" outlineLevel="0" collapsed="false">
      <c r="A40" s="6" t="s">
        <v>90</v>
      </c>
      <c r="B40" s="7" t="s">
        <v>91</v>
      </c>
      <c r="C40" s="6"/>
      <c r="D40" s="6"/>
      <c r="E40" s="8"/>
      <c r="F40" s="8" t="n">
        <f aca="false">IF(ISREF(INDIRECT("'"&amp;Historias[[#This Row],[Ref]]&amp;"'!A1")),SUM(INDIRECT("'"&amp;Historias[[#This Row],[Ref]]&amp;"'!F:F"))/60,"")</f>
        <v>0</v>
      </c>
      <c r="G4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1" customFormat="false" ht="18" hidden="false" customHeight="true" outlineLevel="0" collapsed="false">
      <c r="A41" s="6" t="s">
        <v>92</v>
      </c>
      <c r="B41" s="7" t="s">
        <v>93</v>
      </c>
      <c r="C41" s="6"/>
      <c r="D41" s="6"/>
      <c r="E41" s="8"/>
      <c r="F41" s="8" t="n">
        <f aca="false">IF(ISREF(INDIRECT("'"&amp;Historias[[#This Row],[Ref]]&amp;"'!A1")),SUM(INDIRECT("'"&amp;Historias[[#This Row],[Ref]]&amp;"'!F:F"))/60,"")</f>
        <v>0</v>
      </c>
      <c r="G4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2" customFormat="false" ht="18" hidden="false" customHeight="true" outlineLevel="0" collapsed="false">
      <c r="A42" s="6" t="s">
        <v>94</v>
      </c>
      <c r="B42" s="7" t="s">
        <v>95</v>
      </c>
      <c r="C42" s="6"/>
      <c r="D42" s="6"/>
      <c r="E42" s="8"/>
      <c r="F42" s="8" t="n">
        <f aca="false">IF(ISREF(INDIRECT("'"&amp;Historias[[#This Row],[Ref]]&amp;"'!A1")),SUM(INDIRECT("'"&amp;Historias[[#This Row],[Ref]]&amp;"'!F:F"))/60,"")</f>
        <v>0</v>
      </c>
      <c r="G4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3" customFormat="false" ht="18" hidden="false" customHeight="true" outlineLevel="0" collapsed="false">
      <c r="A43" s="6" t="s">
        <v>96</v>
      </c>
      <c r="B43" s="7" t="s">
        <v>97</v>
      </c>
      <c r="C43" s="6" t="s">
        <v>33</v>
      </c>
      <c r="D43" s="6"/>
      <c r="E43" s="8" t="n">
        <v>5</v>
      </c>
      <c r="F43" s="8" t="n">
        <f aca="false">IF(ISREF(INDIRECT("'"&amp;Historias[[#This Row],[Ref]]&amp;"'!A1")),SUM(INDIRECT("'"&amp;Historias[[#This Row],[Ref]]&amp;"'!F:F"))/60,"")</f>
        <v>0</v>
      </c>
      <c r="G4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4" customFormat="false" ht="18" hidden="false" customHeight="true" outlineLevel="0" collapsed="false">
      <c r="A44" s="6" t="s">
        <v>98</v>
      </c>
      <c r="B44" s="7" t="s">
        <v>99</v>
      </c>
      <c r="C44" s="6"/>
      <c r="D44" s="6"/>
      <c r="E44" s="8"/>
      <c r="F44" s="8" t="n">
        <f aca="false">IF(ISREF(INDIRECT("'"&amp;Historias[[#This Row],[Ref]]&amp;"'!A1")),SUM(INDIRECT("'"&amp;Historias[[#This Row],[Ref]]&amp;"'!F:F"))/60,"")</f>
        <v>0</v>
      </c>
      <c r="G4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5" customFormat="false" ht="18" hidden="false" customHeight="true" outlineLevel="0" collapsed="false">
      <c r="A45" s="6" t="s">
        <v>100</v>
      </c>
      <c r="B45" s="7" t="s">
        <v>101</v>
      </c>
      <c r="C45" s="6" t="s">
        <v>51</v>
      </c>
      <c r="D45" s="6"/>
      <c r="E45" s="8" t="n">
        <v>10</v>
      </c>
      <c r="F45" s="8" t="n">
        <f aca="false">IF(ISREF(INDIRECT("'"&amp;Historias[[#This Row],[Ref]]&amp;"'!A1")),SUM(INDIRECT("'"&amp;Historias[[#This Row],[Ref]]&amp;"'!F:F"))/60,"")</f>
        <v>0</v>
      </c>
      <c r="G4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6" customFormat="false" ht="18" hidden="false" customHeight="true" outlineLevel="0" collapsed="false">
      <c r="A46" s="6" t="s">
        <v>102</v>
      </c>
      <c r="B46" s="7" t="s">
        <v>103</v>
      </c>
      <c r="C46" s="6"/>
      <c r="D46" s="6"/>
      <c r="E46" s="8"/>
      <c r="F46" s="8" t="n">
        <f aca="false">IF(ISREF(INDIRECT("'"&amp;Historias[[#This Row],[Ref]]&amp;"'!A1")),SUM(INDIRECT("'"&amp;Historias[[#This Row],[Ref]]&amp;"'!F:F"))/60,"")</f>
        <v>0</v>
      </c>
      <c r="G4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7" customFormat="false" ht="18" hidden="false" customHeight="true" outlineLevel="0" collapsed="false">
      <c r="A47" s="6" t="s">
        <v>104</v>
      </c>
      <c r="B47" s="7" t="s">
        <v>105</v>
      </c>
      <c r="C47" s="6"/>
      <c r="D47" s="6" t="s">
        <v>41</v>
      </c>
      <c r="E47" s="8"/>
      <c r="F47" s="8" t="n">
        <f aca="false">IF(ISREF(INDIRECT("'"&amp;Historias[[#This Row],[Ref]]&amp;"'!A1")),SUM(INDIRECT("'"&amp;Historias[[#This Row],[Ref]]&amp;"'!F:F"))/60,"")</f>
        <v>0</v>
      </c>
      <c r="G4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8" customFormat="false" ht="18" hidden="false" customHeight="true" outlineLevel="0" collapsed="false">
      <c r="A48" s="6" t="s">
        <v>106</v>
      </c>
      <c r="B48" s="7" t="s">
        <v>107</v>
      </c>
      <c r="C48" s="6"/>
      <c r="D48" s="6"/>
      <c r="E48" s="8"/>
      <c r="F48" s="8" t="n">
        <f aca="false">IF(ISREF(INDIRECT("'"&amp;Historias[[#This Row],[Ref]]&amp;"'!A1")),SUM(INDIRECT("'"&amp;Historias[[#This Row],[Ref]]&amp;"'!F:F"))/60,"")</f>
        <v>0</v>
      </c>
      <c r="G4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9" customFormat="false" ht="18" hidden="false" customHeight="true" outlineLevel="0" collapsed="false">
      <c r="A49" s="6" t="s">
        <v>108</v>
      </c>
      <c r="B49" s="7" t="s">
        <v>109</v>
      </c>
      <c r="C49" s="6"/>
      <c r="D49" s="6"/>
      <c r="E49" s="8"/>
      <c r="F49" s="8" t="n">
        <f aca="false">IF(ISREF(INDIRECT("'"&amp;Historias[[#This Row],[Ref]]&amp;"'!A1")),SUM(INDIRECT("'"&amp;Historias[[#This Row],[Ref]]&amp;"'!F:F"))/60,"")</f>
        <v>0</v>
      </c>
      <c r="G4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0" customFormat="false" ht="18" hidden="false" customHeight="true" outlineLevel="0" collapsed="false">
      <c r="A50" s="6" t="s">
        <v>110</v>
      </c>
      <c r="B50" s="7" t="s">
        <v>111</v>
      </c>
      <c r="C50" s="6" t="s">
        <v>18</v>
      </c>
      <c r="D50" s="6" t="s">
        <v>36</v>
      </c>
      <c r="E50" s="8" t="n">
        <v>4</v>
      </c>
      <c r="F50" s="8" t="n">
        <f aca="false">IF(ISREF(INDIRECT("'"&amp;Historias[[#This Row],[Ref]]&amp;"'!A1")),SUM(INDIRECT("'"&amp;Historias[[#This Row],[Ref]]&amp;"'!F:F"))/60,"")</f>
        <v>3.46666666666667</v>
      </c>
      <c r="G5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1" customFormat="false" ht="18" hidden="false" customHeight="true" outlineLevel="0" collapsed="false">
      <c r="A51" s="6" t="s">
        <v>112</v>
      </c>
      <c r="B51" s="7" t="s">
        <v>113</v>
      </c>
      <c r="C51" s="6"/>
      <c r="D51" s="6"/>
      <c r="E51" s="8"/>
      <c r="F51" s="8" t="n">
        <f aca="false">IF(ISREF(INDIRECT("'"&amp;Historias[[#This Row],[Ref]]&amp;"'!A1")),SUM(INDIRECT("'"&amp;Historias[[#This Row],[Ref]]&amp;"'!F:F"))/60,"")</f>
        <v>0</v>
      </c>
      <c r="G5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2" customFormat="false" ht="18" hidden="false" customHeight="true" outlineLevel="0" collapsed="false">
      <c r="A52" s="6" t="s">
        <v>114</v>
      </c>
      <c r="B52" s="7" t="s">
        <v>115</v>
      </c>
      <c r="C52" s="6" t="s">
        <v>116</v>
      </c>
      <c r="D52" s="6" t="s">
        <v>36</v>
      </c>
      <c r="E52" s="8" t="n">
        <v>4</v>
      </c>
      <c r="F52" s="8" t="n">
        <f aca="false">IF(ISREF(INDIRECT("'"&amp;Historias[[#This Row],[Ref]]&amp;"'!A1")),SUM(INDIRECT("'"&amp;Historias[[#This Row],[Ref]]&amp;"'!F:F"))/60,"")</f>
        <v>1.58333333333333</v>
      </c>
      <c r="G5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3" customFormat="false" ht="18" hidden="false" customHeight="true" outlineLevel="0" collapsed="false">
      <c r="A53" s="6" t="s">
        <v>117</v>
      </c>
      <c r="B53" s="7" t="s">
        <v>118</v>
      </c>
      <c r="C53" s="6" t="s">
        <v>33</v>
      </c>
      <c r="D53" s="6"/>
      <c r="E53" s="8" t="n">
        <v>6</v>
      </c>
      <c r="F53" s="8" t="n">
        <f aca="false">IF(ISREF(INDIRECT("'"&amp;Historias[[#This Row],[Ref]]&amp;"'!A1")),SUM(INDIRECT("'"&amp;Historias[[#This Row],[Ref]]&amp;"'!F:F"))/60,"")</f>
        <v>0</v>
      </c>
      <c r="G5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4" customFormat="false" ht="18" hidden="false" customHeight="true" outlineLevel="0" collapsed="false">
      <c r="A54" s="6" t="s">
        <v>119</v>
      </c>
      <c r="B54" s="7" t="s">
        <v>120</v>
      </c>
      <c r="C54" s="6"/>
      <c r="D54" s="6"/>
      <c r="E54" s="8"/>
      <c r="F54" s="8" t="n">
        <f aca="false">IF(ISREF(INDIRECT("'"&amp;Historias[[#This Row],[Ref]]&amp;"'!A1")),SUM(INDIRECT("'"&amp;Historias[[#This Row],[Ref]]&amp;"'!F:F"))/60,"")</f>
        <v>0</v>
      </c>
      <c r="G5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5" customFormat="false" ht="18" hidden="false" customHeight="true" outlineLevel="0" collapsed="false">
      <c r="A55" s="6" t="s">
        <v>121</v>
      </c>
      <c r="B55" s="7" t="s">
        <v>122</v>
      </c>
      <c r="C55" s="6"/>
      <c r="D55" s="6" t="s">
        <v>41</v>
      </c>
      <c r="E55" s="8"/>
      <c r="F55" s="8" t="n">
        <f aca="false">IF(ISREF(INDIRECT("'"&amp;Historias[[#This Row],[Ref]]&amp;"'!A1")),SUM(INDIRECT("'"&amp;Historias[[#This Row],[Ref]]&amp;"'!F:F"))/60,"")</f>
        <v>0</v>
      </c>
      <c r="G5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6" customFormat="false" ht="18" hidden="false" customHeight="true" outlineLevel="0" collapsed="false">
      <c r="A56" s="6" t="s">
        <v>123</v>
      </c>
      <c r="B56" s="7" t="s">
        <v>124</v>
      </c>
      <c r="C56" s="6"/>
      <c r="D56" s="6"/>
      <c r="E56" s="8"/>
      <c r="F56" s="8" t="n">
        <f aca="false">IF(ISREF(INDIRECT("'"&amp;Historias[[#This Row],[Ref]]&amp;"'!A1")),SUM(INDIRECT("'"&amp;Historias[[#This Row],[Ref]]&amp;"'!F:F"))/60,"")</f>
        <v>0</v>
      </c>
      <c r="G5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7" customFormat="false" ht="18" hidden="false" customHeight="true" outlineLevel="0" collapsed="false">
      <c r="A57" s="6" t="s">
        <v>125</v>
      </c>
      <c r="B57" s="7" t="s">
        <v>126</v>
      </c>
      <c r="C57" s="6" t="s">
        <v>51</v>
      </c>
      <c r="D57" s="6"/>
      <c r="E57" s="8" t="n">
        <v>5</v>
      </c>
      <c r="F57" s="8" t="n">
        <f aca="false">IF(ISREF(INDIRECT("'"&amp;Historias[[#This Row],[Ref]]&amp;"'!A1")),SUM(INDIRECT("'"&amp;Historias[[#This Row],[Ref]]&amp;"'!F:F"))/60,"")</f>
        <v>0</v>
      </c>
      <c r="G5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8" customFormat="false" ht="18" hidden="false" customHeight="true" outlineLevel="0" collapsed="false">
      <c r="A58" s="6" t="s">
        <v>127</v>
      </c>
      <c r="B58" s="7" t="s">
        <v>128</v>
      </c>
      <c r="C58" s="6" t="s">
        <v>18</v>
      </c>
      <c r="D58" s="6" t="s">
        <v>36</v>
      </c>
      <c r="E58" s="8" t="n">
        <v>3</v>
      </c>
      <c r="F58" s="8" t="n">
        <f aca="false">IF(ISREF(INDIRECT("'"&amp;Historias[[#This Row],[Ref]]&amp;"'!A1")),SUM(INDIRECT("'"&amp;Historias[[#This Row],[Ref]]&amp;"'!F:F"))/60,"")</f>
        <v>0</v>
      </c>
      <c r="G58"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9" customFormat="false" ht="18" hidden="false" customHeight="true" outlineLevel="0" collapsed="false">
      <c r="A59" s="6" t="s">
        <v>129</v>
      </c>
      <c r="B59" s="7" t="s">
        <v>130</v>
      </c>
      <c r="C59" s="6" t="s">
        <v>51</v>
      </c>
      <c r="D59" s="6"/>
      <c r="E59" s="8" t="n">
        <v>6</v>
      </c>
      <c r="F59" s="8" t="n">
        <f aca="false">IF(ISREF(INDIRECT("'"&amp;Historias[[#This Row],[Ref]]&amp;"'!A1")),SUM(INDIRECT("'"&amp;Historias[[#This Row],[Ref]]&amp;"'!F:F"))/60,"")</f>
        <v>0</v>
      </c>
      <c r="G59"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0" customFormat="false" ht="18" hidden="false" customHeight="true" outlineLevel="0" collapsed="false">
      <c r="A60" s="6" t="s">
        <v>131</v>
      </c>
      <c r="B60" s="7" t="s">
        <v>132</v>
      </c>
      <c r="C60" s="6" t="s">
        <v>18</v>
      </c>
      <c r="D60" s="6" t="s">
        <v>36</v>
      </c>
      <c r="E60" s="8" t="n">
        <v>3</v>
      </c>
      <c r="F60" s="8" t="n">
        <f aca="false">IF(ISREF(INDIRECT("'"&amp;Historias[[#This Row],[Ref]]&amp;"'!A1")),SUM(INDIRECT("'"&amp;Historias[[#This Row],[Ref]]&amp;"'!F:F"))/60,"")</f>
        <v>0.833333333333333</v>
      </c>
      <c r="G60"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1" customFormat="false" ht="18" hidden="false" customHeight="true" outlineLevel="0" collapsed="false">
      <c r="A61" s="6" t="s">
        <v>133</v>
      </c>
      <c r="B61" s="7" t="s">
        <v>134</v>
      </c>
      <c r="C61" s="6"/>
      <c r="D61" s="6" t="s">
        <v>41</v>
      </c>
      <c r="E61" s="8"/>
      <c r="F61" s="8" t="n">
        <f aca="false">IF(ISREF(INDIRECT("'"&amp;Historias[[#This Row],[Ref]]&amp;"'!A1")),SUM(INDIRECT("'"&amp;Historias[[#This Row],[Ref]]&amp;"'!F:F"))/60,"")</f>
        <v>0</v>
      </c>
      <c r="G61"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2" customFormat="false" ht="18" hidden="false" customHeight="true" outlineLevel="0" collapsed="false">
      <c r="A62" s="6" t="s">
        <v>135</v>
      </c>
      <c r="B62" s="7" t="s">
        <v>136</v>
      </c>
      <c r="C62" s="6" t="s">
        <v>18</v>
      </c>
      <c r="D62" s="6" t="s">
        <v>36</v>
      </c>
      <c r="E62" s="8" t="n">
        <v>4</v>
      </c>
      <c r="F62" s="8" t="n">
        <f aca="false">IF(ISREF(INDIRECT("'"&amp;Historias[[#This Row],[Ref]]&amp;"'!A1")),SUM(INDIRECT("'"&amp;Historias[[#This Row],[Ref]]&amp;"'!F:F"))/60,"")</f>
        <v>0.5</v>
      </c>
      <c r="G62"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3" customFormat="false" ht="18" hidden="false" customHeight="true" outlineLevel="0" collapsed="false">
      <c r="A63" s="6" t="s">
        <v>137</v>
      </c>
      <c r="B63" s="7" t="s">
        <v>138</v>
      </c>
      <c r="C63" s="6" t="s">
        <v>18</v>
      </c>
      <c r="D63" s="6" t="s">
        <v>36</v>
      </c>
      <c r="E63" s="8" t="n">
        <v>1</v>
      </c>
      <c r="F63" s="8" t="n">
        <f aca="false">IF(ISREF(INDIRECT("'"&amp;Historias[[#This Row],[Ref]]&amp;"'!A1")),SUM(INDIRECT("'"&amp;Historias[[#This Row],[Ref]]&amp;"'!F:F"))/60,"")</f>
        <v>1.25</v>
      </c>
      <c r="G63"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4" customFormat="false" ht="18" hidden="false" customHeight="true" outlineLevel="0" collapsed="false">
      <c r="A64" s="6" t="s">
        <v>139</v>
      </c>
      <c r="B64" s="7" t="s">
        <v>140</v>
      </c>
      <c r="C64" s="6" t="s">
        <v>33</v>
      </c>
      <c r="D64" s="6" t="s">
        <v>36</v>
      </c>
      <c r="E64" s="8"/>
      <c r="F64" s="8" t="n">
        <f aca="false">IF(ISREF(INDIRECT("'"&amp;Historias[[#This Row],[Ref]]&amp;"'!A1")),SUM(INDIRECT("'"&amp;Historias[[#This Row],[Ref]]&amp;"'!F:F"))/60,"")</f>
        <v>0</v>
      </c>
      <c r="G64"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5" customFormat="false" ht="18" hidden="false" customHeight="true" outlineLevel="0" collapsed="false">
      <c r="A65" s="6" t="s">
        <v>141</v>
      </c>
      <c r="B65" s="7" t="s">
        <v>142</v>
      </c>
      <c r="C65" s="6" t="s">
        <v>116</v>
      </c>
      <c r="D65" s="6" t="s">
        <v>36</v>
      </c>
      <c r="E65" s="8"/>
      <c r="F65" s="8" t="n">
        <f aca="false">IF(ISREF(INDIRECT("'"&amp;Historias[[#This Row],[Ref]]&amp;"'!A1")),SUM(INDIRECT("'"&amp;Historias[[#This Row],[Ref]]&amp;"'!F:F"))/60,"")</f>
        <v>0</v>
      </c>
      <c r="G65"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6" customFormat="false" ht="18" hidden="false" customHeight="true" outlineLevel="0" collapsed="false">
      <c r="A66" s="6" t="s">
        <v>143</v>
      </c>
      <c r="B66" s="7" t="s">
        <v>144</v>
      </c>
      <c r="C66" s="6" t="s">
        <v>33</v>
      </c>
      <c r="D66" s="6" t="s">
        <v>19</v>
      </c>
      <c r="E66" s="8"/>
      <c r="F66" s="8" t="n">
        <f aca="false">IF(ISREF(INDIRECT("'"&amp;Historias[[#This Row],[Ref]]&amp;"'!A1")),SUM(INDIRECT("'"&amp;Historias[[#This Row],[Ref]]&amp;"'!F:F"))/60,"")</f>
        <v>0</v>
      </c>
      <c r="G66"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7" customFormat="false" ht="18" hidden="false" customHeight="true" outlineLevel="0" collapsed="false">
      <c r="A67" s="6" t="s">
        <v>145</v>
      </c>
      <c r="B67" s="7" t="s">
        <v>146</v>
      </c>
      <c r="C67" s="6" t="s">
        <v>51</v>
      </c>
      <c r="D67" s="6" t="s">
        <v>19</v>
      </c>
      <c r="E67" s="8"/>
      <c r="F67" s="8" t="n">
        <f aca="false">IF(ISREF(INDIRECT("'"&amp;Historias[[#This Row],[Ref]]&amp;"'!A1")),SUM(INDIRECT("'"&amp;Historias[[#This Row],[Ref]]&amp;"'!F:F"))/60,"")</f>
        <v>0</v>
      </c>
      <c r="G67" s="6" t="str">
        <f aca="false">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sheetData>
  <mergeCells count="1">
    <mergeCell ref="A2:G2"/>
  </mergeCells>
  <conditionalFormatting sqref="C4:C500">
    <cfRule type="expression" priority="2" aboveAverage="0" equalAverage="0" bottom="0" percent="0" rank="0" text="" dxfId="20">
      <formula>$C4="Bajo"</formula>
    </cfRule>
    <cfRule type="expression" priority="3" aboveAverage="0" equalAverage="0" bottom="0" percent="0" rank="0" text="" dxfId="21">
      <formula>$C4="Medio bajo"</formula>
    </cfRule>
    <cfRule type="expression" priority="4" aboveAverage="0" equalAverage="0" bottom="0" percent="0" rank="0" text="" dxfId="22">
      <formula>$C4="Medio"</formula>
    </cfRule>
    <cfRule type="expression" priority="5" aboveAverage="0" equalAverage="0" bottom="0" percent="0" rank="0" text="" dxfId="23">
      <formula>$C4="Alto"</formula>
    </cfRule>
    <cfRule type="expression" priority="6" aboveAverage="0" equalAverage="0" bottom="0" percent="0" rank="0" text="" dxfId="24">
      <formula>$C4="Muy alto"</formula>
    </cfRule>
  </conditionalFormatting>
  <conditionalFormatting sqref="D4:D500">
    <cfRule type="expression" priority="7" aboveAverage="0" equalAverage="0" bottom="0" percent="0" rank="0" text="" dxfId="25">
      <formula>$D4="I"</formula>
    </cfRule>
    <cfRule type="expression" priority="8" aboveAverage="0" equalAverage="0" bottom="0" percent="0" rank="0" text="" dxfId="26">
      <formula>$D4="N"</formula>
    </cfRule>
    <cfRule type="expression" priority="9" aboveAverage="0" equalAverage="0" bottom="0" percent="0" rank="0" text="" dxfId="27">
      <formula>$D4="M"</formula>
    </cfRule>
  </conditionalFormatting>
  <conditionalFormatting sqref="G4:G500">
    <cfRule type="expression" priority="10" aboveAverage="0" equalAverage="0" bottom="0" percent="0" rank="0" text="" dxfId="28">
      <formula>$G4="En progreso"</formula>
    </cfRule>
    <cfRule type="expression" priority="11" aboveAverage="0" equalAverage="0" bottom="0" percent="0" rank="0" text="" dxfId="29">
      <formula>$G4="En espera"</formula>
    </cfRule>
    <cfRule type="expression" priority="12" aboveAverage="0" equalAverage="0" bottom="0" percent="0" rank="0" text="" dxfId="30">
      <formula>$G4="Finalizada"</formula>
    </cfRule>
    <cfRule type="expression" priority="13" aboveAverage="0" equalAverage="0" bottom="0" percent="0" rank="0" text="" dxfId="31">
      <formula>$G4="Sin página"</formula>
    </cfRule>
  </conditionalFormatting>
  <conditionalFormatting sqref="A4:G500">
    <cfRule type="expression" priority="14" aboveAverage="0" equalAverage="0" bottom="0" percent="0" rank="0" text="" dxfId="32">
      <formula>$G4="En progreso"</formula>
    </cfRule>
    <cfRule type="expression" priority="15" aboveAverage="0" equalAverage="0" bottom="0" percent="0" rank="0" text="" dxfId="33">
      <formula>$G4="Finalizada"</formula>
    </cfRule>
  </conditionalFormatting>
  <dataValidations count="3">
    <dataValidation allowBlank="true" error="Elige un valor de la lista." errorStyle="stop" errorTitle="Riesgo" operator="between" showDropDown="false" showErrorMessage="true" showInputMessage="false" sqref="C4:C500" type="list">
      <formula1>"Bajo,Medio bajo,Medio,Alto,Muy alto"</formula1>
      <formula2>0</formula2>
    </dataValidation>
    <dataValidation allowBlank="true" error="Elige I, N o M." errorStyle="stop" errorTitle="Prioridad" operator="between" prompt="I = la más importante · N = media · M = poco importante" promptTitle="Prioridad" showDropDown="false" showErrorMessage="true" showInputMessage="true" sqref="D4:D500" type="list">
      <formula1>"I,N,M"</formula1>
      <formula2>0</formula2>
    </dataValidation>
    <dataValidation allowBlank="true" error="Escribe las horas con un número, por ejemplo 4 o 0,5." errorStyle="stop" errorTitle="Tiempo estimado" operator="greaterThanOrEqual" showDropDown="false" showErrorMessage="true" showInputMessage="false" sqref="E4:E500" type="decimal">
      <formula1>0</formula1>
      <formula2>0</formula2>
    </dataValidation>
  </dataValidations>
  <hyperlinks>
    <hyperlink ref="B4" location="'CS-01'!A1" display="VALORAR UNA EXPERIENCIA"/>
    <hyperlink ref="B5" location="'CS-02'!A1" display="COMENTAR Y MARCAR ÚTIL"/>
    <hyperlink ref="B6" location="'CS-03'!A1" display="SEÑALAR INFORMACIÓN DESACTUALIZADA"/>
    <hyperlink ref="B7" location="'CS-04'!A1" display="REPORTAR CONTENIDO"/>
    <hyperlink ref="B8" location="'CS-05'!A1" display="REVISAR REPORTES PENDIENTES"/>
    <hyperlink ref="B9" location="'CS-06'!A1" display="RETIRAR CONTENIDO Y CERRAR REPORTE"/>
    <hyperlink ref="B10" location="'CS-07'!A1" display="AVISOS DE ACTIVIDAD"/>
    <hyperlink ref="B11" location="'CS-08'!A1" display="CONFIGURAR MIS AVISOS"/>
    <hyperlink ref="B12" location="'CS-09'!A1" display="NOVEDADES DE AMIGOS"/>
    <hyperlink ref="B13" location="'CS-10'!A1" display="BÚSQUEDA CON FILTROS COMBINABLES"/>
    <hyperlink ref="B14" location="'CS-11'!A1" display="ORDENACIÓN Y PAGINACIÓN ESTABLE"/>
    <hyperlink ref="B15" location="'CS-12'!A1" display="AGREGADOS DERIVADOS PARA BÚSQUEDA"/>
    <hyperlink ref="B16" location="'CS-13'!A1" display="DETECCIÓN DE VALORACIONES SOSPECHOSAS"/>
    <hyperlink ref="B17" location="'CS-14'!A1" display="RESUMEN DE VALORACIONES DE UNA EXPERIENCIA"/>
    <hyperlink ref="B18" location="'CS-15'!A1" display="CICLO DE VIDA DEL AVISO DE DATO OBSOLETO"/>
    <hyperlink ref="B19" location="'CS-16'!A1" display="OCULTACIÓN PREVENTIVA POR UMBRAL DE REPORTES"/>
    <hyperlink ref="B20" location="'CS-17'!A1" display="DETECCIÓN AUTOMÁTICA DE PUBLICIDAD ENCUBIERTA"/>
    <hyperlink ref="B21" location="'CS-18'!A1" display="SANCIONES A AUTORES REINCIDENTES"/>
    <hyperlink ref="B22" location="'CS-19'!A1" display="AVISOS DE MODERACIÓN (RETIRADA Y RESOLUCIÓN)"/>
    <hyperlink ref="B23" location="'CS-20'!A1" display="AGRUPACIÓN Y LÍMITE DE FRECUENCIA DE AVISOS"/>
    <hyperlink ref="B24" location="'CS-21'!A1" display="REGISTRO DE DISPOSITIVOS Y PROVEEDOR PUSH"/>
    <hyperlink ref="B25" location="'CS-22'!A1" display="VISIBILIDAD EXPERIENCIAS"/>
    <hyperlink ref="B26" location="'CS-23'!A1" display="PESTAÑA DE BÚSQUEDA"/>
    <hyperlink ref="B27" location="'CS-24'!A1" display="RESULTADO BÚSQUEDA"/>
    <hyperlink ref="B28" location="'CS-25'!A1" display="VISTA RESUMIDA DE EXPERIENCIA"/>
    <hyperlink ref="B29" location="'CS-26'!A1" display="BARRA DE BÚSQUEDA"/>
    <hyperlink ref="B30" location="'CS-27'!A1" display="VISIBILIDAD INICIO"/>
    <hyperlink ref="B31" location="'CS-28'!A1" display="ORDENACIÓN RESULTADOS"/>
    <hyperlink ref="B32" location="'CS-29'!A1" display="RECUPERACIÓN DE BORRADORES"/>
    <hyperlink ref="B33" location="'CS-30'!A1" display="CONTROL DE ACCESO"/>
    <hyperlink ref="B34" location="'CS-31'!A1" display="FILTRO “EXPERIENCIAS DE AMIGOS”"/>
    <hyperlink ref="B35" location="'CS-32'!A1" display="VISTA DETALLADA DE EXPERIENCIA"/>
    <hyperlink ref="B36" location="'CS-33'!A1" display="LIMPIAR BÚSQUEDA"/>
    <hyperlink ref="B37" location="'CS-34'!A1" display="ESTADOS DE “CARGA”, “SIN RESULTADOS” Y “ERROR”"/>
    <hyperlink ref="B38" location="'CS-35'!A1" display="CARGA DE RESULTADOS"/>
    <hyperlink ref="B39" location="'CS-36'!A1" display="ORDENACIÓN POR CERCANÍA"/>
    <hyperlink ref="B40" location="'CS-37'!A1" display="Compartir una experiencia mediante un enlace"/>
    <hyperlink ref="B41" location="'CS-38'!A1" display="Compartir mediante otras aplicaciones"/>
    <hyperlink ref="B42" location="'CS-39'!A1" display="Recomendaciones según la ciudad"/>
    <hyperlink ref="B43" location="'CS-40'!A1" display="Recomendaciones según mis gustos"/>
    <hyperlink ref="B44" location="'CS-41'!A1" display="Experiencias similares a las guardadas"/>
    <hyperlink ref="B45" location="'CS-42'!A1" display="Recomendaciones según mis valoraciones"/>
    <hyperlink ref="B46" location="'CS-43'!A1" display="MIS GUARDADOS"/>
    <hyperlink ref="B47" location="'CS-44'!A1" display="MIS EXPERIENCIAS PUBLICADAS EN EL PERFIL"/>
    <hyperlink ref="B48" location="'CS-45'!A1" display="MI NÚMERO DE AMIGOS Y SEGUIDORES"/>
    <hyperlink ref="B49" location="'CS-46'!A1" display="MIS CIUDADES"/>
    <hyperlink ref="B50" location="'CS-47'!A1" display="CREAR MI PERFIL"/>
    <hyperlink ref="B51" location="'CS-48'!A1" display="VALORACIONES DE MIS AMIGOS Y SEGUIDORES"/>
    <hyperlink ref="B52" location="'CS-49'!A1" display="CREACIÓN DE EXPERIENCIAS"/>
    <hyperlink ref="B53" location="'CS-50'!A1" display="LUGARES DE LA EXPERIENCIA"/>
    <hyperlink ref="B54" location="'CS-51'!A1" display="ITINERARIO DE EXPERIENCIAS"/>
    <hyperlink ref="B55" location="'CS-52'!A1" display="FOTOS Y COMENTARIOS DE LUGARES"/>
    <hyperlink ref="B56" location="'CS-53'!A1" display="DURACIÓN Y TARIFA DE LA EXPERIENCIA"/>
    <hyperlink ref="B57" location="'CS-54'!A1" display="EVENTOS DE UN LUGAR"/>
    <hyperlink ref="B58" location="'CS-55'!A1" display="CATEGORÍA DE LA EXPERIENCIA"/>
    <hyperlink ref="B59" location="'CS-56'!A1" display="MOMENTO RECOMENDADO DE LA EXPERIENCIA"/>
    <hyperlink ref="B60" location="'CS-57'!A1" display="EDICIÓN DE EXPERIENCIA"/>
    <hyperlink ref="B61" location="'CS-58'!A1" display="TRANSPORTE PÚBLICO DE LA EXPERIENCIA"/>
    <hyperlink ref="B62" location="'CS-59'!A1" display="CREAR UNA CUENTA"/>
    <hyperlink ref="B63" location="'CS-60'!A1" display="METODOLOGÍA"/>
    <hyperlink ref="B64" location="'CS-61'!A1" display="AMISTADES Y SEGUIDORES"/>
    <hyperlink ref="B65" location="'CS-62'!A1" display="PERFIL DE OTRO USUARIO"/>
    <hyperlink ref="B66" location="'CS-63'!A1" display="PANTALLA DE VALORACIONES Y COMENTARIOS"/>
    <hyperlink ref="B67" location="'CS-64'!A1" display="CONTRASEÑA SEGURA"/>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CS-01 · VALORAR UNA EXPERIENCIA</v>
      </c>
      <c r="B1" s="9"/>
      <c r="C1" s="9"/>
      <c r="D1" s="9"/>
      <c r="E1" s="9"/>
      <c r="F1" s="10" t="s">
        <v>147</v>
      </c>
    </row>
    <row r="2" customFormat="false" ht="18" hidden="false" customHeight="true" outlineLevel="0" collapsed="false">
      <c r="A2" s="11" t="s">
        <v>3</v>
      </c>
      <c r="B2" s="12" t="s">
        <v>10</v>
      </c>
      <c r="C2" s="12"/>
      <c r="D2" s="12"/>
      <c r="E2" s="12"/>
      <c r="F2" s="12"/>
    </row>
    <row r="3" customFormat="false" ht="15" hidden="false" customHeight="true" outlineLevel="0" collapsed="false">
      <c r="A3" s="11" t="s">
        <v>4</v>
      </c>
      <c r="B3" s="13" t="str">
        <f aca="false">IFERROR(INDEX(Historias[Título],MATCH($B$2,Historias[Ref],0))&amp;"","")</f>
        <v>VALORAR UNA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152</v>
      </c>
      <c r="C11" s="15"/>
      <c r="D11" s="15"/>
      <c r="E11" s="15"/>
      <c r="F11" s="15"/>
    </row>
    <row r="12" customFormat="false" ht="63" hidden="false" customHeight="true" outlineLevel="0" collapsed="false">
      <c r="A12" s="11" t="s">
        <v>153</v>
      </c>
      <c r="B12" s="15" t="s">
        <v>154</v>
      </c>
      <c r="C12" s="15"/>
      <c r="D12" s="15"/>
      <c r="E12" s="15"/>
      <c r="F12" s="15"/>
    </row>
    <row r="13" customFormat="false" ht="93" hidden="false" customHeight="true" outlineLevel="0" collapsed="false">
      <c r="A13" s="11" t="s">
        <v>155</v>
      </c>
      <c r="B13" s="15" t="s">
        <v>156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IF(Obj_CS01[[#This Row],[Descripción]]="","",ROW()-ROW(Obj_CS01[[#Headers],[Objetivo]]))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4">
      <formula>$B4="En progreso"</formula>
    </cfRule>
    <cfRule type="expression" priority="3" aboveAverage="0" equalAverage="0" bottom="0" percent="0" rank="0" text="" dxfId="35">
      <formula>$B4="En espera"</formula>
    </cfRule>
    <cfRule type="expression" priority="4" aboveAverage="0" equalAverage="0" bottom="0" percent="0" rank="0" text="" dxfId="36">
      <formula>$B4="Finalizada"</formula>
    </cfRule>
    <cfRule type="expression" priority="5" aboveAverage="0" equalAverage="0" bottom="0" percent="0" rank="0" text="" dxfId="37">
      <formula>$B4="Sin página"</formula>
    </cfRule>
  </conditionalFormatting>
  <conditionalFormatting sqref="B5">
    <cfRule type="expression" priority="6" aboveAverage="0" equalAverage="0" bottom="0" percent="0" rank="0" text="" dxfId="38">
      <formula>$B5="I"</formula>
    </cfRule>
    <cfRule type="expression" priority="7" aboveAverage="0" equalAverage="0" bottom="0" percent="0" rank="0" text="" dxfId="39">
      <formula>$B5="N"</formula>
    </cfRule>
    <cfRule type="expression" priority="8" aboveAverage="0" equalAverage="0" bottom="0" percent="0" rank="0" text="" dxfId="40">
      <formula>$B5="M"</formula>
    </cfRule>
  </conditionalFormatting>
  <conditionalFormatting sqref="B6">
    <cfRule type="expression" priority="9" aboveAverage="0" equalAverage="0" bottom="0" percent="0" rank="0" text="" dxfId="41">
      <formula>$B6="Bajo"</formula>
    </cfRule>
    <cfRule type="expression" priority="10" aboveAverage="0" equalAverage="0" bottom="0" percent="0" rank="0" text="" dxfId="42">
      <formula>$B6="Medio bajo"</formula>
    </cfRule>
    <cfRule type="expression" priority="11" aboveAverage="0" equalAverage="0" bottom="0" percent="0" rank="0" text="" dxfId="43">
      <formula>$B6="Medio"</formula>
    </cfRule>
    <cfRule type="expression" priority="12" aboveAverage="0" equalAverage="0" bottom="0" percent="0" rank="0" text="" dxfId="44">
      <formula>$B6="Alto"</formula>
    </cfRule>
    <cfRule type="expression" priority="13" aboveAverage="0" equalAverage="0" bottom="0" percent="0" rank="0" text="" dxfId="45">
      <formula>$B6="Muy alto"</formula>
    </cfRule>
  </conditionalFormatting>
  <conditionalFormatting sqref="C17:C316">
    <cfRule type="expression" priority="14" aboveAverage="0" equalAverage="0" bottom="0" percent="0" rank="0" text="" dxfId="46">
      <formula>$C17="Sí"</formula>
    </cfRule>
    <cfRule type="expression" priority="15" aboveAverage="0" equalAverage="0" bottom="0" percent="0" rank="0" text="" dxfId="4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CS-02 · COMENTAR Y MARCAR ÚTIL</v>
      </c>
      <c r="B1" s="9"/>
      <c r="C1" s="9"/>
      <c r="D1" s="9"/>
      <c r="E1" s="9"/>
      <c r="F1" s="10" t="s">
        <v>147</v>
      </c>
    </row>
    <row r="2" customFormat="false" ht="18" hidden="false" customHeight="true" outlineLevel="0" collapsed="false">
      <c r="A2" s="11" t="s">
        <v>3</v>
      </c>
      <c r="B2" s="12" t="s">
        <v>12</v>
      </c>
      <c r="C2" s="12"/>
      <c r="D2" s="12"/>
      <c r="E2" s="12"/>
      <c r="F2" s="12"/>
    </row>
    <row r="3" customFormat="false" ht="15" hidden="false" customHeight="true" outlineLevel="0" collapsed="false">
      <c r="A3" s="11" t="s">
        <v>4</v>
      </c>
      <c r="B3" s="13" t="str">
        <f aca="false">IFERROR(INDEX(Historias[Título],MATCH($B$2,Historias[Ref],0))&amp;"","")</f>
        <v>COMENTAR Y MARCAR ÚTIL</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163</v>
      </c>
      <c r="C11" s="15"/>
      <c r="D11" s="15"/>
      <c r="E11" s="15"/>
      <c r="F11" s="15"/>
    </row>
    <row r="12" customFormat="false" ht="48" hidden="false" customHeight="true" outlineLevel="0" collapsed="false">
      <c r="A12" s="11" t="s">
        <v>153</v>
      </c>
      <c r="B12" s="15" t="s">
        <v>164</v>
      </c>
      <c r="C12" s="15"/>
      <c r="D12" s="15"/>
      <c r="E12" s="15"/>
      <c r="F12" s="15"/>
    </row>
    <row r="13" customFormat="false" ht="93" hidden="false" customHeight="true" outlineLevel="0" collapsed="false">
      <c r="A13" s="11" t="s">
        <v>155</v>
      </c>
      <c r="B13" s="15" t="s">
        <v>165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IF(Obj_CS02[[#This Row],[Descripción]]="","",ROW()-ROW(Obj_CS02[[#Headers],[Objetivo]]))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8">
      <formula>$B4="En progreso"</formula>
    </cfRule>
    <cfRule type="expression" priority="3" aboveAverage="0" equalAverage="0" bottom="0" percent="0" rank="0" text="" dxfId="49">
      <formula>$B4="En espera"</formula>
    </cfRule>
    <cfRule type="expression" priority="4" aboveAverage="0" equalAverage="0" bottom="0" percent="0" rank="0" text="" dxfId="50">
      <formula>$B4="Finalizada"</formula>
    </cfRule>
    <cfRule type="expression" priority="5" aboveAverage="0" equalAverage="0" bottom="0" percent="0" rank="0" text="" dxfId="51">
      <formula>$B4="Sin página"</formula>
    </cfRule>
  </conditionalFormatting>
  <conditionalFormatting sqref="B5">
    <cfRule type="expression" priority="6" aboveAverage="0" equalAverage="0" bottom="0" percent="0" rank="0" text="" dxfId="52">
      <formula>$B5="I"</formula>
    </cfRule>
    <cfRule type="expression" priority="7" aboveAverage="0" equalAverage="0" bottom="0" percent="0" rank="0" text="" dxfId="53">
      <formula>$B5="N"</formula>
    </cfRule>
    <cfRule type="expression" priority="8" aboveAverage="0" equalAverage="0" bottom="0" percent="0" rank="0" text="" dxfId="54">
      <formula>$B5="M"</formula>
    </cfRule>
  </conditionalFormatting>
  <conditionalFormatting sqref="B6">
    <cfRule type="expression" priority="9" aboveAverage="0" equalAverage="0" bottom="0" percent="0" rank="0" text="" dxfId="55">
      <formula>$B6="Bajo"</formula>
    </cfRule>
    <cfRule type="expression" priority="10" aboveAverage="0" equalAverage="0" bottom="0" percent="0" rank="0" text="" dxfId="56">
      <formula>$B6="Medio bajo"</formula>
    </cfRule>
    <cfRule type="expression" priority="11" aboveAverage="0" equalAverage="0" bottom="0" percent="0" rank="0" text="" dxfId="57">
      <formula>$B6="Medio"</formula>
    </cfRule>
    <cfRule type="expression" priority="12" aboveAverage="0" equalAverage="0" bottom="0" percent="0" rank="0" text="" dxfId="58">
      <formula>$B6="Alto"</formula>
    </cfRule>
    <cfRule type="expression" priority="13" aboveAverage="0" equalAverage="0" bottom="0" percent="0" rank="0" text="" dxfId="59">
      <formula>$B6="Muy alto"</formula>
    </cfRule>
  </conditionalFormatting>
  <conditionalFormatting sqref="C17:C316">
    <cfRule type="expression" priority="14" aboveAverage="0" equalAverage="0" bottom="0" percent="0" rank="0" text="" dxfId="60">
      <formula>$C17="Sí"</formula>
    </cfRule>
    <cfRule type="expression" priority="15" aboveAverage="0" equalAverage="0" bottom="0" percent="0" rank="0" text="" dxfId="6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CS-03 · SEÑALAR INFORMACIÓN DESACTUALIZADA</v>
      </c>
      <c r="B1" s="9"/>
      <c r="C1" s="9"/>
      <c r="D1" s="9"/>
      <c r="E1" s="9"/>
      <c r="F1" s="10" t="s">
        <v>147</v>
      </c>
    </row>
    <row r="2" customFormat="false" ht="18" hidden="false" customHeight="true" outlineLevel="0" collapsed="false">
      <c r="A2" s="11" t="s">
        <v>3</v>
      </c>
      <c r="B2" s="12" t="s">
        <v>14</v>
      </c>
      <c r="C2" s="12"/>
      <c r="D2" s="12"/>
      <c r="E2" s="12"/>
      <c r="F2" s="12"/>
    </row>
    <row r="3" customFormat="false" ht="15" hidden="false" customHeight="true" outlineLevel="0" collapsed="false">
      <c r="A3" s="11" t="s">
        <v>4</v>
      </c>
      <c r="B3" s="13" t="str">
        <f aca="false">IFERROR(INDEX(Historias[Título],MATCH($B$2,Historias[Ref],0))&amp;"","")</f>
        <v>SEÑALAR INFORMACIÓN DESACTUALIZADA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166</v>
      </c>
      <c r="C11" s="15"/>
      <c r="D11" s="15"/>
      <c r="E11" s="15"/>
      <c r="F11" s="15"/>
    </row>
    <row r="12" customFormat="false" ht="63" hidden="false" customHeight="true" outlineLevel="0" collapsed="false">
      <c r="A12" s="11" t="s">
        <v>153</v>
      </c>
      <c r="B12" s="15" t="s">
        <v>167</v>
      </c>
      <c r="C12" s="15"/>
      <c r="D12" s="15"/>
      <c r="E12" s="15"/>
      <c r="F12" s="15"/>
    </row>
    <row r="13" customFormat="false" ht="93" hidden="false" customHeight="true" outlineLevel="0" collapsed="false">
      <c r="A13" s="11" t="s">
        <v>155</v>
      </c>
      <c r="B13" s="15" t="s">
        <v>168</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IF(Obj_CS03[[#This Row],[Descripción]]="","",ROW()-ROW(Obj_CS03[[#Headers],[Objetivo]]))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2">
      <formula>$B4="En progreso"</formula>
    </cfRule>
    <cfRule type="expression" priority="3" aboveAverage="0" equalAverage="0" bottom="0" percent="0" rank="0" text="" dxfId="63">
      <formula>$B4="En espera"</formula>
    </cfRule>
    <cfRule type="expression" priority="4" aboveAverage="0" equalAverage="0" bottom="0" percent="0" rank="0" text="" dxfId="64">
      <formula>$B4="Finalizada"</formula>
    </cfRule>
    <cfRule type="expression" priority="5" aboveAverage="0" equalAverage="0" bottom="0" percent="0" rank="0" text="" dxfId="65">
      <formula>$B4="Sin página"</formula>
    </cfRule>
  </conditionalFormatting>
  <conditionalFormatting sqref="B5">
    <cfRule type="expression" priority="6" aboveAverage="0" equalAverage="0" bottom="0" percent="0" rank="0" text="" dxfId="66">
      <formula>$B5="I"</formula>
    </cfRule>
    <cfRule type="expression" priority="7" aboveAverage="0" equalAverage="0" bottom="0" percent="0" rank="0" text="" dxfId="67">
      <formula>$B5="N"</formula>
    </cfRule>
    <cfRule type="expression" priority="8" aboveAverage="0" equalAverage="0" bottom="0" percent="0" rank="0" text="" dxfId="68">
      <formula>$B5="M"</formula>
    </cfRule>
  </conditionalFormatting>
  <conditionalFormatting sqref="B6">
    <cfRule type="expression" priority="9" aboveAverage="0" equalAverage="0" bottom="0" percent="0" rank="0" text="" dxfId="69">
      <formula>$B6="Bajo"</formula>
    </cfRule>
    <cfRule type="expression" priority="10" aboveAverage="0" equalAverage="0" bottom="0" percent="0" rank="0" text="" dxfId="70">
      <formula>$B6="Medio bajo"</formula>
    </cfRule>
    <cfRule type="expression" priority="11" aboveAverage="0" equalAverage="0" bottom="0" percent="0" rank="0" text="" dxfId="71">
      <formula>$B6="Medio"</formula>
    </cfRule>
    <cfRule type="expression" priority="12" aboveAverage="0" equalAverage="0" bottom="0" percent="0" rank="0" text="" dxfId="72">
      <formula>$B6="Alto"</formula>
    </cfRule>
    <cfRule type="expression" priority="13" aboveAverage="0" equalAverage="0" bottom="0" percent="0" rank="0" text="" dxfId="73">
      <formula>$B6="Muy alto"</formula>
    </cfRule>
  </conditionalFormatting>
  <conditionalFormatting sqref="C17:C316">
    <cfRule type="expression" priority="14" aboveAverage="0" equalAverage="0" bottom="0" percent="0" rank="0" text="" dxfId="74">
      <formula>$C17="Sí"</formula>
    </cfRule>
    <cfRule type="expression" priority="15" aboveAverage="0" equalAverage="0" bottom="0" percent="0" rank="0" text="" dxfId="7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CS-04 · REPORTAR CONTENIDO</v>
      </c>
      <c r="B1" s="9"/>
      <c r="C1" s="9"/>
      <c r="D1" s="9"/>
      <c r="E1" s="9"/>
      <c r="F1" s="10" t="s">
        <v>147</v>
      </c>
    </row>
    <row r="2" customFormat="false" ht="18" hidden="false" customHeight="true" outlineLevel="0" collapsed="false">
      <c r="A2" s="11" t="s">
        <v>3</v>
      </c>
      <c r="B2" s="12" t="s">
        <v>16</v>
      </c>
      <c r="C2" s="12"/>
      <c r="D2" s="12"/>
      <c r="E2" s="12"/>
      <c r="F2" s="12"/>
    </row>
    <row r="3" customFormat="false" ht="15" hidden="false" customHeight="true" outlineLevel="0" collapsed="false">
      <c r="A3" s="11" t="s">
        <v>4</v>
      </c>
      <c r="B3" s="13" t="str">
        <f aca="false">IFERROR(INDEX(Historias[Título],MATCH($B$2,Historias[Ref],0))&amp;"","")</f>
        <v>REPORTAR CONTENIDO</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5</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169</v>
      </c>
      <c r="C11" s="15"/>
      <c r="D11" s="15"/>
      <c r="E11" s="15"/>
      <c r="F11" s="15"/>
    </row>
    <row r="12" customFormat="false" ht="48" hidden="false" customHeight="true" outlineLevel="0" collapsed="false">
      <c r="A12" s="11" t="s">
        <v>153</v>
      </c>
      <c r="B12" s="15" t="s">
        <v>170</v>
      </c>
      <c r="C12" s="15"/>
      <c r="D12" s="15"/>
      <c r="E12" s="15"/>
      <c r="F12" s="15"/>
    </row>
    <row r="13" customFormat="false" ht="78" hidden="false" customHeight="true" outlineLevel="0" collapsed="false">
      <c r="A13" s="11" t="s">
        <v>155</v>
      </c>
      <c r="B13" s="15" t="s">
        <v>171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IF(Obj_CS04[[#This Row],[Descripción]]="","",ROW()-ROW(Obj_CS04[[#Headers],[Objetivo]]))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6">
      <formula>$B4="En progreso"</formula>
    </cfRule>
    <cfRule type="expression" priority="3" aboveAverage="0" equalAverage="0" bottom="0" percent="0" rank="0" text="" dxfId="77">
      <formula>$B4="En espera"</formula>
    </cfRule>
    <cfRule type="expression" priority="4" aboveAverage="0" equalAverage="0" bottom="0" percent="0" rank="0" text="" dxfId="78">
      <formula>$B4="Finalizada"</formula>
    </cfRule>
    <cfRule type="expression" priority="5" aboveAverage="0" equalAverage="0" bottom="0" percent="0" rank="0" text="" dxfId="79">
      <formula>$B4="Sin página"</formula>
    </cfRule>
  </conditionalFormatting>
  <conditionalFormatting sqref="B5">
    <cfRule type="expression" priority="6" aboveAverage="0" equalAverage="0" bottom="0" percent="0" rank="0" text="" dxfId="80">
      <formula>$B5="I"</formula>
    </cfRule>
    <cfRule type="expression" priority="7" aboveAverage="0" equalAverage="0" bottom="0" percent="0" rank="0" text="" dxfId="81">
      <formula>$B5="N"</formula>
    </cfRule>
    <cfRule type="expression" priority="8" aboveAverage="0" equalAverage="0" bottom="0" percent="0" rank="0" text="" dxfId="82">
      <formula>$B5="M"</formula>
    </cfRule>
  </conditionalFormatting>
  <conditionalFormatting sqref="B6">
    <cfRule type="expression" priority="9" aboveAverage="0" equalAverage="0" bottom="0" percent="0" rank="0" text="" dxfId="83">
      <formula>$B6="Bajo"</formula>
    </cfRule>
    <cfRule type="expression" priority="10" aboveAverage="0" equalAverage="0" bottom="0" percent="0" rank="0" text="" dxfId="84">
      <formula>$B6="Medio bajo"</formula>
    </cfRule>
    <cfRule type="expression" priority="11" aboveAverage="0" equalAverage="0" bottom="0" percent="0" rank="0" text="" dxfId="85">
      <formula>$B6="Medio"</formula>
    </cfRule>
    <cfRule type="expression" priority="12" aboveAverage="0" equalAverage="0" bottom="0" percent="0" rank="0" text="" dxfId="86">
      <formula>$B6="Alto"</formula>
    </cfRule>
    <cfRule type="expression" priority="13" aboveAverage="0" equalAverage="0" bottom="0" percent="0" rank="0" text="" dxfId="87">
      <formula>$B6="Muy alto"</formula>
    </cfRule>
  </conditionalFormatting>
  <conditionalFormatting sqref="C17:C316">
    <cfRule type="expression" priority="14" aboveAverage="0" equalAverage="0" bottom="0" percent="0" rank="0" text="" dxfId="88">
      <formula>$C17="Sí"</formula>
    </cfRule>
    <cfRule type="expression" priority="15" aboveAverage="0" equalAverage="0" bottom="0" percent="0" rank="0" text="" dxfId="8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CS-05 · REVISAR REPORTES PENDIENTES</v>
      </c>
      <c r="B1" s="9"/>
      <c r="C1" s="9"/>
      <c r="D1" s="9"/>
      <c r="E1" s="9"/>
      <c r="F1" s="10" t="s">
        <v>147</v>
      </c>
    </row>
    <row r="2" customFormat="false" ht="18" hidden="false" customHeight="true" outlineLevel="0" collapsed="false">
      <c r="A2" s="11" t="s">
        <v>3</v>
      </c>
      <c r="B2" s="12" t="s">
        <v>20</v>
      </c>
      <c r="C2" s="12"/>
      <c r="D2" s="12"/>
      <c r="E2" s="12"/>
      <c r="F2" s="12"/>
    </row>
    <row r="3" customFormat="false" ht="15" hidden="false" customHeight="true" outlineLevel="0" collapsed="false">
      <c r="A3" s="11" t="s">
        <v>4</v>
      </c>
      <c r="B3" s="13" t="str">
        <f aca="false">IFERROR(INDEX(Historias[Título],MATCH($B$2,Historias[Ref],0))&amp;"","")</f>
        <v>REVISAR REPORTES PENDIENTES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172</v>
      </c>
      <c r="C11" s="15"/>
      <c r="D11" s="15"/>
      <c r="E11" s="15"/>
      <c r="F11" s="15"/>
    </row>
    <row r="12" customFormat="false" ht="48" hidden="false" customHeight="true" outlineLevel="0" collapsed="false">
      <c r="A12" s="11" t="s">
        <v>153</v>
      </c>
      <c r="B12" s="15" t="s">
        <v>173</v>
      </c>
      <c r="C12" s="15"/>
      <c r="D12" s="15"/>
      <c r="E12" s="15"/>
      <c r="F12" s="15"/>
    </row>
    <row r="13" customFormat="false" ht="78" hidden="false" customHeight="true" outlineLevel="0" collapsed="false">
      <c r="A13" s="11" t="s">
        <v>155</v>
      </c>
      <c r="B13" s="15" t="s">
        <v>174</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IF(Obj_CS05[[#This Row],[Descripción]]="","",ROW()-ROW(Obj_CS05[[#Headers],[Objetivo]]))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90">
      <formula>$B4="En progreso"</formula>
    </cfRule>
    <cfRule type="expression" priority="3" aboveAverage="0" equalAverage="0" bottom="0" percent="0" rank="0" text="" dxfId="91">
      <formula>$B4="En espera"</formula>
    </cfRule>
    <cfRule type="expression" priority="4" aboveAverage="0" equalAverage="0" bottom="0" percent="0" rank="0" text="" dxfId="92">
      <formula>$B4="Finalizada"</formula>
    </cfRule>
    <cfRule type="expression" priority="5" aboveAverage="0" equalAverage="0" bottom="0" percent="0" rank="0" text="" dxfId="93">
      <formula>$B4="Sin página"</formula>
    </cfRule>
  </conditionalFormatting>
  <conditionalFormatting sqref="B5">
    <cfRule type="expression" priority="6" aboveAverage="0" equalAverage="0" bottom="0" percent="0" rank="0" text="" dxfId="94">
      <formula>$B5="I"</formula>
    </cfRule>
    <cfRule type="expression" priority="7" aboveAverage="0" equalAverage="0" bottom="0" percent="0" rank="0" text="" dxfId="95">
      <formula>$B5="N"</formula>
    </cfRule>
    <cfRule type="expression" priority="8" aboveAverage="0" equalAverage="0" bottom="0" percent="0" rank="0" text="" dxfId="96">
      <formula>$B5="M"</formula>
    </cfRule>
  </conditionalFormatting>
  <conditionalFormatting sqref="B6">
    <cfRule type="expression" priority="9" aboveAverage="0" equalAverage="0" bottom="0" percent="0" rank="0" text="" dxfId="97">
      <formula>$B6="Bajo"</formula>
    </cfRule>
    <cfRule type="expression" priority="10" aboveAverage="0" equalAverage="0" bottom="0" percent="0" rank="0" text="" dxfId="98">
      <formula>$B6="Medio bajo"</formula>
    </cfRule>
    <cfRule type="expression" priority="11" aboveAverage="0" equalAverage="0" bottom="0" percent="0" rank="0" text="" dxfId="99">
      <formula>$B6="Medio"</formula>
    </cfRule>
    <cfRule type="expression" priority="12" aboveAverage="0" equalAverage="0" bottom="0" percent="0" rank="0" text="" dxfId="100">
      <formula>$B6="Alto"</formula>
    </cfRule>
    <cfRule type="expression" priority="13" aboveAverage="0" equalAverage="0" bottom="0" percent="0" rank="0" text="" dxfId="101">
      <formula>$B6="Muy alto"</formula>
    </cfRule>
  </conditionalFormatting>
  <conditionalFormatting sqref="C17:C316">
    <cfRule type="expression" priority="14" aboveAverage="0" equalAverage="0" bottom="0" percent="0" rank="0" text="" dxfId="102">
      <formula>$C17="Sí"</formula>
    </cfRule>
    <cfRule type="expression" priority="15" aboveAverage="0" equalAverage="0" bottom="0" percent="0" rank="0" text="" dxfId="10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CS-06 · RETIRAR CONTENIDO Y CERRAR REPORTE</v>
      </c>
      <c r="B1" s="9"/>
      <c r="C1" s="9"/>
      <c r="D1" s="9"/>
      <c r="E1" s="9"/>
      <c r="F1" s="10" t="s">
        <v>147</v>
      </c>
    </row>
    <row r="2" customFormat="false" ht="18" hidden="false" customHeight="true" outlineLevel="0" collapsed="false">
      <c r="A2" s="11" t="s">
        <v>3</v>
      </c>
      <c r="B2" s="12" t="s">
        <v>22</v>
      </c>
      <c r="C2" s="12"/>
      <c r="D2" s="12"/>
      <c r="E2" s="12"/>
      <c r="F2" s="12"/>
    </row>
    <row r="3" customFormat="false" ht="15" hidden="false" customHeight="true" outlineLevel="0" collapsed="false">
      <c r="A3" s="11" t="s">
        <v>4</v>
      </c>
      <c r="B3" s="13" t="str">
        <f aca="false">IFERROR(INDEX(Historias[Título],MATCH($B$2,Historias[Ref],0))&amp;"","")</f>
        <v>RETIRAR CONTENIDO Y CERRAR REPORTE</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IM</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175</v>
      </c>
      <c r="C11" s="15"/>
      <c r="D11" s="15"/>
      <c r="E11" s="15"/>
      <c r="F11" s="15"/>
    </row>
    <row r="12" customFormat="false" ht="48" hidden="false" customHeight="true" outlineLevel="0" collapsed="false">
      <c r="A12" s="11" t="s">
        <v>153</v>
      </c>
      <c r="B12" s="15" t="s">
        <v>176</v>
      </c>
      <c r="C12" s="15"/>
      <c r="D12" s="15"/>
      <c r="E12" s="15"/>
      <c r="F12" s="15"/>
    </row>
    <row r="13" customFormat="false" ht="93" hidden="false" customHeight="true" outlineLevel="0" collapsed="false">
      <c r="A13" s="11" t="s">
        <v>155</v>
      </c>
      <c r="B13" s="15" t="s">
        <v>177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IF(Obj_CS06[[#This Row],[Descripción]]="","",ROW()-ROW(Obj_CS06[[#Headers],[Objetivo]]))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04">
      <formula>$B4="En progreso"</formula>
    </cfRule>
    <cfRule type="expression" priority="3" aboveAverage="0" equalAverage="0" bottom="0" percent="0" rank="0" text="" dxfId="105">
      <formula>$B4="En espera"</formula>
    </cfRule>
    <cfRule type="expression" priority="4" aboveAverage="0" equalAverage="0" bottom="0" percent="0" rank="0" text="" dxfId="106">
      <formula>$B4="Finalizada"</formula>
    </cfRule>
    <cfRule type="expression" priority="5" aboveAverage="0" equalAverage="0" bottom="0" percent="0" rank="0" text="" dxfId="107">
      <formula>$B4="Sin página"</formula>
    </cfRule>
  </conditionalFormatting>
  <conditionalFormatting sqref="B5">
    <cfRule type="expression" priority="6" aboveAverage="0" equalAverage="0" bottom="0" percent="0" rank="0" text="" dxfId="108">
      <formula>$B5="I"</formula>
    </cfRule>
    <cfRule type="expression" priority="7" aboveAverage="0" equalAverage="0" bottom="0" percent="0" rank="0" text="" dxfId="109">
      <formula>$B5="N"</formula>
    </cfRule>
    <cfRule type="expression" priority="8" aboveAverage="0" equalAverage="0" bottom="0" percent="0" rank="0" text="" dxfId="110">
      <formula>$B5="M"</formula>
    </cfRule>
  </conditionalFormatting>
  <conditionalFormatting sqref="B6">
    <cfRule type="expression" priority="9" aboveAverage="0" equalAverage="0" bottom="0" percent="0" rank="0" text="" dxfId="111">
      <formula>$B6="Bajo"</formula>
    </cfRule>
    <cfRule type="expression" priority="10" aboveAverage="0" equalAverage="0" bottom="0" percent="0" rank="0" text="" dxfId="112">
      <formula>$B6="Medio bajo"</formula>
    </cfRule>
    <cfRule type="expression" priority="11" aboveAverage="0" equalAverage="0" bottom="0" percent="0" rank="0" text="" dxfId="113">
      <formula>$B6="Medio"</formula>
    </cfRule>
    <cfRule type="expression" priority="12" aboveAverage="0" equalAverage="0" bottom="0" percent="0" rank="0" text="" dxfId="114">
      <formula>$B6="Alto"</formula>
    </cfRule>
    <cfRule type="expression" priority="13" aboveAverage="0" equalAverage="0" bottom="0" percent="0" rank="0" text="" dxfId="115">
      <formula>$B6="Muy alto"</formula>
    </cfRule>
  </conditionalFormatting>
  <conditionalFormatting sqref="C17:C316">
    <cfRule type="expression" priority="14" aboveAverage="0" equalAverage="0" bottom="0" percent="0" rank="0" text="" dxfId="116">
      <formula>$C17="Sí"</formula>
    </cfRule>
    <cfRule type="expression" priority="15" aboveAverage="0" equalAverage="0" bottom="0" percent="0" rank="0" text="" dxfId="11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CS-07 · AVISOS DE ACTIVIDAD</v>
      </c>
      <c r="B1" s="9"/>
      <c r="C1" s="9"/>
      <c r="D1" s="9"/>
      <c r="E1" s="9"/>
      <c r="F1" s="10" t="s">
        <v>147</v>
      </c>
    </row>
    <row r="2" customFormat="false" ht="18" hidden="false" customHeight="true" outlineLevel="0" collapsed="false">
      <c r="A2" s="11" t="s">
        <v>3</v>
      </c>
      <c r="B2" s="12" t="s">
        <v>25</v>
      </c>
      <c r="C2" s="12"/>
      <c r="D2" s="12"/>
      <c r="E2" s="12"/>
      <c r="F2" s="12"/>
    </row>
    <row r="3" customFormat="false" ht="15" hidden="false" customHeight="true" outlineLevel="0" collapsed="false">
      <c r="A3" s="11" t="s">
        <v>4</v>
      </c>
      <c r="B3" s="13" t="str">
        <f aca="false">IFERROR(INDEX(Historias[Título],MATCH($B$2,Historias[Ref],0))&amp;"","")</f>
        <v>AVISOS DE ACTIVIDAD</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4</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178</v>
      </c>
      <c r="C11" s="15"/>
      <c r="D11" s="15"/>
      <c r="E11" s="15"/>
      <c r="F11" s="15"/>
    </row>
    <row r="12" customFormat="false" ht="63" hidden="false" customHeight="true" outlineLevel="0" collapsed="false">
      <c r="A12" s="11" t="s">
        <v>153</v>
      </c>
      <c r="B12" s="15" t="s">
        <v>179</v>
      </c>
      <c r="C12" s="15"/>
      <c r="D12" s="15"/>
      <c r="E12" s="15"/>
      <c r="F12" s="15"/>
    </row>
    <row r="13" customFormat="false" ht="78" hidden="false" customHeight="true" outlineLevel="0" collapsed="false">
      <c r="A13" s="11" t="s">
        <v>155</v>
      </c>
      <c r="B13" s="15" t="s">
        <v>180</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IF(Obj_CS07[[#This Row],[Descripción]]="","",ROW()-ROW(Obj_CS07[[#Headers],[Objetivo]]))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18">
      <formula>$B4="En progreso"</formula>
    </cfRule>
    <cfRule type="expression" priority="3" aboveAverage="0" equalAverage="0" bottom="0" percent="0" rank="0" text="" dxfId="119">
      <formula>$B4="En espera"</formula>
    </cfRule>
    <cfRule type="expression" priority="4" aboveAverage="0" equalAverage="0" bottom="0" percent="0" rank="0" text="" dxfId="120">
      <formula>$B4="Finalizada"</formula>
    </cfRule>
    <cfRule type="expression" priority="5" aboveAverage="0" equalAverage="0" bottom="0" percent="0" rank="0" text="" dxfId="121">
      <formula>$B4="Sin página"</formula>
    </cfRule>
  </conditionalFormatting>
  <conditionalFormatting sqref="B5">
    <cfRule type="expression" priority="6" aboveAverage="0" equalAverage="0" bottom="0" percent="0" rank="0" text="" dxfId="122">
      <formula>$B5="I"</formula>
    </cfRule>
    <cfRule type="expression" priority="7" aboveAverage="0" equalAverage="0" bottom="0" percent="0" rank="0" text="" dxfId="123">
      <formula>$B5="N"</formula>
    </cfRule>
    <cfRule type="expression" priority="8" aboveAverage="0" equalAverage="0" bottom="0" percent="0" rank="0" text="" dxfId="124">
      <formula>$B5="M"</formula>
    </cfRule>
  </conditionalFormatting>
  <conditionalFormatting sqref="B6">
    <cfRule type="expression" priority="9" aboveAverage="0" equalAverage="0" bottom="0" percent="0" rank="0" text="" dxfId="125">
      <formula>$B6="Bajo"</formula>
    </cfRule>
    <cfRule type="expression" priority="10" aboveAverage="0" equalAverage="0" bottom="0" percent="0" rank="0" text="" dxfId="126">
      <formula>$B6="Medio bajo"</formula>
    </cfRule>
    <cfRule type="expression" priority="11" aboveAverage="0" equalAverage="0" bottom="0" percent="0" rank="0" text="" dxfId="127">
      <formula>$B6="Medio"</formula>
    </cfRule>
    <cfRule type="expression" priority="12" aboveAverage="0" equalAverage="0" bottom="0" percent="0" rank="0" text="" dxfId="128">
      <formula>$B6="Alto"</formula>
    </cfRule>
    <cfRule type="expression" priority="13" aboveAverage="0" equalAverage="0" bottom="0" percent="0" rank="0" text="" dxfId="129">
      <formula>$B6="Muy alto"</formula>
    </cfRule>
  </conditionalFormatting>
  <conditionalFormatting sqref="C17:C316">
    <cfRule type="expression" priority="14" aboveAverage="0" equalAverage="0" bottom="0" percent="0" rank="0" text="" dxfId="130">
      <formula>$C17="Sí"</formula>
    </cfRule>
    <cfRule type="expression" priority="15" aboveAverage="0" equalAverage="0" bottom="0" percent="0" rank="0" text="" dxfId="13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CS-08 · CONFIGURAR MIS AVISOS</v>
      </c>
      <c r="B1" s="9"/>
      <c r="C1" s="9"/>
      <c r="D1" s="9"/>
      <c r="E1" s="9"/>
      <c r="F1" s="10" t="s">
        <v>147</v>
      </c>
    </row>
    <row r="2" customFormat="false" ht="18" hidden="false" customHeight="true" outlineLevel="0" collapsed="false">
      <c r="A2" s="11" t="s">
        <v>3</v>
      </c>
      <c r="B2" s="12" t="s">
        <v>27</v>
      </c>
      <c r="C2" s="12"/>
      <c r="D2" s="12"/>
      <c r="E2" s="12"/>
      <c r="F2" s="12"/>
    </row>
    <row r="3" customFormat="false" ht="15" hidden="false" customHeight="true" outlineLevel="0" collapsed="false">
      <c r="A3" s="11" t="s">
        <v>4</v>
      </c>
      <c r="B3" s="13" t="str">
        <f aca="false">IFERROR(INDEX(Historias[Título],MATCH($B$2,Historias[Ref],0))&amp;"","")</f>
        <v>CONFIGURAR MIS AVISOS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181</v>
      </c>
      <c r="C11" s="15"/>
      <c r="D11" s="15"/>
      <c r="E11" s="15"/>
      <c r="F11" s="15"/>
    </row>
    <row r="12" customFormat="false" ht="48" hidden="false" customHeight="true" outlineLevel="0" collapsed="false">
      <c r="A12" s="11" t="s">
        <v>153</v>
      </c>
      <c r="B12" s="15" t="s">
        <v>182</v>
      </c>
      <c r="C12" s="15"/>
      <c r="D12" s="15"/>
      <c r="E12" s="15"/>
      <c r="F12" s="15"/>
    </row>
    <row r="13" customFormat="false" ht="78" hidden="false" customHeight="true" outlineLevel="0" collapsed="false">
      <c r="A13" s="11" t="s">
        <v>155</v>
      </c>
      <c r="B13" s="15" t="s">
        <v>183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IF(Obj_CS08[[#This Row],[Descripción]]="","",ROW()-ROW(Obj_CS08[[#Headers],[Objetivo]]))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32">
      <formula>$B4="En progreso"</formula>
    </cfRule>
    <cfRule type="expression" priority="3" aboveAverage="0" equalAverage="0" bottom="0" percent="0" rank="0" text="" dxfId="133">
      <formula>$B4="En espera"</formula>
    </cfRule>
    <cfRule type="expression" priority="4" aboveAverage="0" equalAverage="0" bottom="0" percent="0" rank="0" text="" dxfId="134">
      <formula>$B4="Finalizada"</formula>
    </cfRule>
    <cfRule type="expression" priority="5" aboveAverage="0" equalAverage="0" bottom="0" percent="0" rank="0" text="" dxfId="135">
      <formula>$B4="Sin página"</formula>
    </cfRule>
  </conditionalFormatting>
  <conditionalFormatting sqref="B5">
    <cfRule type="expression" priority="6" aboveAverage="0" equalAverage="0" bottom="0" percent="0" rank="0" text="" dxfId="136">
      <formula>$B5="I"</formula>
    </cfRule>
    <cfRule type="expression" priority="7" aboveAverage="0" equalAverage="0" bottom="0" percent="0" rank="0" text="" dxfId="137">
      <formula>$B5="N"</formula>
    </cfRule>
    <cfRule type="expression" priority="8" aboveAverage="0" equalAverage="0" bottom="0" percent="0" rank="0" text="" dxfId="138">
      <formula>$B5="M"</formula>
    </cfRule>
  </conditionalFormatting>
  <conditionalFormatting sqref="B6">
    <cfRule type="expression" priority="9" aboveAverage="0" equalAverage="0" bottom="0" percent="0" rank="0" text="" dxfId="139">
      <formula>$B6="Bajo"</formula>
    </cfRule>
    <cfRule type="expression" priority="10" aboveAverage="0" equalAverage="0" bottom="0" percent="0" rank="0" text="" dxfId="140">
      <formula>$B6="Medio bajo"</formula>
    </cfRule>
    <cfRule type="expression" priority="11" aboveAverage="0" equalAverage="0" bottom="0" percent="0" rank="0" text="" dxfId="141">
      <formula>$B6="Medio"</formula>
    </cfRule>
    <cfRule type="expression" priority="12" aboveAverage="0" equalAverage="0" bottom="0" percent="0" rank="0" text="" dxfId="142">
      <formula>$B6="Alto"</formula>
    </cfRule>
    <cfRule type="expression" priority="13" aboveAverage="0" equalAverage="0" bottom="0" percent="0" rank="0" text="" dxfId="143">
      <formula>$B6="Muy alto"</formula>
    </cfRule>
  </conditionalFormatting>
  <conditionalFormatting sqref="C17:C316">
    <cfRule type="expression" priority="14" aboveAverage="0" equalAverage="0" bottom="0" percent="0" rank="0" text="" dxfId="144">
      <formula>$C17="Sí"</formula>
    </cfRule>
    <cfRule type="expression" priority="15" aboveAverage="0" equalAverage="0" bottom="0" percent="0" rank="0" text="" dxfId="14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CS-09 · NOVEDADES DE AMIGOS</v>
      </c>
      <c r="B1" s="9"/>
      <c r="C1" s="9"/>
      <c r="D1" s="9"/>
      <c r="E1" s="9"/>
      <c r="F1" s="10" t="s">
        <v>147</v>
      </c>
    </row>
    <row r="2" customFormat="false" ht="18" hidden="false" customHeight="true" outlineLevel="0" collapsed="false">
      <c r="A2" s="11" t="s">
        <v>3</v>
      </c>
      <c r="B2" s="12" t="s">
        <v>29</v>
      </c>
      <c r="C2" s="12"/>
      <c r="D2" s="12"/>
      <c r="E2" s="12"/>
      <c r="F2" s="12"/>
    </row>
    <row r="3" customFormat="false" ht="15" hidden="false" customHeight="true" outlineLevel="0" collapsed="false">
      <c r="A3" s="11" t="s">
        <v>4</v>
      </c>
      <c r="B3" s="13" t="str">
        <f aca="false">IFERROR(INDEX(Historias[Título],MATCH($B$2,Historias[Ref],0))&amp;"","")</f>
        <v>NOVEDADES DE AMIGOS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184</v>
      </c>
      <c r="C11" s="15"/>
      <c r="D11" s="15"/>
      <c r="E11" s="15"/>
      <c r="F11" s="15"/>
    </row>
    <row r="12" customFormat="false" ht="63" hidden="false" customHeight="true" outlineLevel="0" collapsed="false">
      <c r="A12" s="11" t="s">
        <v>153</v>
      </c>
      <c r="B12" s="15" t="s">
        <v>185</v>
      </c>
      <c r="C12" s="15"/>
      <c r="D12" s="15"/>
      <c r="E12" s="15"/>
      <c r="F12" s="15"/>
    </row>
    <row r="13" customFormat="false" ht="78" hidden="false" customHeight="true" outlineLevel="0" collapsed="false">
      <c r="A13" s="11" t="s">
        <v>155</v>
      </c>
      <c r="B13" s="15" t="s">
        <v>186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IF(Obj_CS09[[#This Row],[Descripción]]="","",ROW()-ROW(Obj_CS09[[#Headers],[Objetivo]]))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46">
      <formula>$B4="En progreso"</formula>
    </cfRule>
    <cfRule type="expression" priority="3" aboveAverage="0" equalAverage="0" bottom="0" percent="0" rank="0" text="" dxfId="147">
      <formula>$B4="En espera"</formula>
    </cfRule>
    <cfRule type="expression" priority="4" aboveAverage="0" equalAverage="0" bottom="0" percent="0" rank="0" text="" dxfId="148">
      <formula>$B4="Finalizada"</formula>
    </cfRule>
    <cfRule type="expression" priority="5" aboveAverage="0" equalAverage="0" bottom="0" percent="0" rank="0" text="" dxfId="149">
      <formula>$B4="Sin página"</formula>
    </cfRule>
  </conditionalFormatting>
  <conditionalFormatting sqref="B5">
    <cfRule type="expression" priority="6" aboveAverage="0" equalAverage="0" bottom="0" percent="0" rank="0" text="" dxfId="150">
      <formula>$B5="I"</formula>
    </cfRule>
    <cfRule type="expression" priority="7" aboveAverage="0" equalAverage="0" bottom="0" percent="0" rank="0" text="" dxfId="151">
      <formula>$B5="N"</formula>
    </cfRule>
    <cfRule type="expression" priority="8" aboveAverage="0" equalAverage="0" bottom="0" percent="0" rank="0" text="" dxfId="152">
      <formula>$B5="M"</formula>
    </cfRule>
  </conditionalFormatting>
  <conditionalFormatting sqref="B6">
    <cfRule type="expression" priority="9" aboveAverage="0" equalAverage="0" bottom="0" percent="0" rank="0" text="" dxfId="153">
      <formula>$B6="Bajo"</formula>
    </cfRule>
    <cfRule type="expression" priority="10" aboveAverage="0" equalAverage="0" bottom="0" percent="0" rank="0" text="" dxfId="154">
      <formula>$B6="Medio bajo"</formula>
    </cfRule>
    <cfRule type="expression" priority="11" aboveAverage="0" equalAverage="0" bottom="0" percent="0" rank="0" text="" dxfId="155">
      <formula>$B6="Medio"</formula>
    </cfRule>
    <cfRule type="expression" priority="12" aboveAverage="0" equalAverage="0" bottom="0" percent="0" rank="0" text="" dxfId="156">
      <formula>$B6="Alto"</formula>
    </cfRule>
    <cfRule type="expression" priority="13" aboveAverage="0" equalAverage="0" bottom="0" percent="0" rank="0" text="" dxfId="157">
      <formula>$B6="Muy alto"</formula>
    </cfRule>
  </conditionalFormatting>
  <conditionalFormatting sqref="C17:C316">
    <cfRule type="expression" priority="14" aboveAverage="0" equalAverage="0" bottom="0" percent="0" rank="0" text="" dxfId="158">
      <formula>$C17="Sí"</formula>
    </cfRule>
    <cfRule type="expression" priority="15" aboveAverage="0" equalAverage="0" bottom="0" percent="0" rank="0" text="" dxfId="15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CS-10 · BÚSQUEDA CON FILTROS COMBINABLES</v>
      </c>
      <c r="B1" s="9"/>
      <c r="C1" s="9"/>
      <c r="D1" s="9"/>
      <c r="E1" s="9"/>
      <c r="F1" s="10" t="s">
        <v>147</v>
      </c>
    </row>
    <row r="2" customFormat="false" ht="18" hidden="false" customHeight="true" outlineLevel="0" collapsed="false">
      <c r="A2" s="11" t="s">
        <v>3</v>
      </c>
      <c r="B2" s="12" t="s">
        <v>31</v>
      </c>
      <c r="C2" s="12"/>
      <c r="D2" s="12"/>
      <c r="E2" s="12"/>
      <c r="F2" s="12"/>
    </row>
    <row r="3" customFormat="false" ht="15" hidden="false" customHeight="true" outlineLevel="0" collapsed="false">
      <c r="A3" s="11" t="s">
        <v>4</v>
      </c>
      <c r="B3" s="13" t="str">
        <f aca="false">IFERROR(INDEX(Historias[Título],MATCH($B$2,Historias[Ref],0))&amp;"","")</f>
        <v>BÚSQUEDA CON FILTROS COMBINABLES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7</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187</v>
      </c>
      <c r="C11" s="15"/>
      <c r="D11" s="15"/>
      <c r="E11" s="15"/>
      <c r="F11" s="15"/>
    </row>
    <row r="12" customFormat="false" ht="48" hidden="false" customHeight="true" outlineLevel="0" collapsed="false">
      <c r="A12" s="11" t="s">
        <v>153</v>
      </c>
      <c r="B12" s="15" t="s">
        <v>188</v>
      </c>
      <c r="C12" s="15"/>
      <c r="D12" s="15"/>
      <c r="E12" s="15"/>
      <c r="F12" s="15"/>
    </row>
    <row r="13" customFormat="false" ht="78" hidden="false" customHeight="true" outlineLevel="0" collapsed="false">
      <c r="A13" s="11" t="s">
        <v>155</v>
      </c>
      <c r="B13" s="15" t="s">
        <v>189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IF(Obj_CS10[[#This Row],[Descripción]]="","",ROW()-ROW(Obj_CS10[[#Headers],[Objetivo]]))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60">
      <formula>$B4="En progreso"</formula>
    </cfRule>
    <cfRule type="expression" priority="3" aboveAverage="0" equalAverage="0" bottom="0" percent="0" rank="0" text="" dxfId="161">
      <formula>$B4="En espera"</formula>
    </cfRule>
    <cfRule type="expression" priority="4" aboveAverage="0" equalAverage="0" bottom="0" percent="0" rank="0" text="" dxfId="162">
      <formula>$B4="Finalizada"</formula>
    </cfRule>
    <cfRule type="expression" priority="5" aboveAverage="0" equalAverage="0" bottom="0" percent="0" rank="0" text="" dxfId="163">
      <formula>$B4="Sin página"</formula>
    </cfRule>
  </conditionalFormatting>
  <conditionalFormatting sqref="B5">
    <cfRule type="expression" priority="6" aboveAverage="0" equalAverage="0" bottom="0" percent="0" rank="0" text="" dxfId="164">
      <formula>$B5="I"</formula>
    </cfRule>
    <cfRule type="expression" priority="7" aboveAverage="0" equalAverage="0" bottom="0" percent="0" rank="0" text="" dxfId="165">
      <formula>$B5="N"</formula>
    </cfRule>
    <cfRule type="expression" priority="8" aboveAverage="0" equalAverage="0" bottom="0" percent="0" rank="0" text="" dxfId="166">
      <formula>$B5="M"</formula>
    </cfRule>
  </conditionalFormatting>
  <conditionalFormatting sqref="B6">
    <cfRule type="expression" priority="9" aboveAverage="0" equalAverage="0" bottom="0" percent="0" rank="0" text="" dxfId="167">
      <formula>$B6="Bajo"</formula>
    </cfRule>
    <cfRule type="expression" priority="10" aboveAverage="0" equalAverage="0" bottom="0" percent="0" rank="0" text="" dxfId="168">
      <formula>$B6="Medio bajo"</formula>
    </cfRule>
    <cfRule type="expression" priority="11" aboveAverage="0" equalAverage="0" bottom="0" percent="0" rank="0" text="" dxfId="169">
      <formula>$B6="Medio"</formula>
    </cfRule>
    <cfRule type="expression" priority="12" aboveAverage="0" equalAverage="0" bottom="0" percent="0" rank="0" text="" dxfId="170">
      <formula>$B6="Alto"</formula>
    </cfRule>
    <cfRule type="expression" priority="13" aboveAverage="0" equalAverage="0" bottom="0" percent="0" rank="0" text="" dxfId="171">
      <formula>$B6="Muy alto"</formula>
    </cfRule>
  </conditionalFormatting>
  <conditionalFormatting sqref="C17:C316">
    <cfRule type="expression" priority="14" aboveAverage="0" equalAverage="0" bottom="0" percent="0" rank="0" text="" dxfId="172">
      <formula>$C17="Sí"</formula>
    </cfRule>
    <cfRule type="expression" priority="15" aboveAverage="0" equalAverage="0" bottom="0" percent="0" rank="0" text="" dxfId="17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CS-11 · ORDENACIÓN Y PAGINACIÓN ESTABLE</v>
      </c>
      <c r="B1" s="9"/>
      <c r="C1" s="9"/>
      <c r="D1" s="9"/>
      <c r="E1" s="9"/>
      <c r="F1" s="10" t="s">
        <v>147</v>
      </c>
    </row>
    <row r="2" customFormat="false" ht="18" hidden="false" customHeight="true" outlineLevel="0" collapsed="false">
      <c r="A2" s="11" t="s">
        <v>3</v>
      </c>
      <c r="B2" s="12" t="s">
        <v>34</v>
      </c>
      <c r="C2" s="12"/>
      <c r="D2" s="12"/>
      <c r="E2" s="12"/>
      <c r="F2" s="12"/>
    </row>
    <row r="3" customFormat="false" ht="15" hidden="false" customHeight="true" outlineLevel="0" collapsed="false">
      <c r="A3" s="11" t="s">
        <v>4</v>
      </c>
      <c r="B3" s="13" t="str">
        <f aca="false">IFERROR(INDEX(Historias[Título],MATCH($B$2,Historias[Ref],0))&amp;"","")</f>
        <v>ORDENACIÓN Y PAGINACIÓN ESTABLE</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20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190</v>
      </c>
      <c r="C11" s="15"/>
      <c r="D11" s="15"/>
      <c r="E11" s="15"/>
      <c r="F11" s="15"/>
    </row>
    <row r="12" customFormat="false" ht="48" hidden="false" customHeight="true" outlineLevel="0" collapsed="false">
      <c r="A12" s="11" t="s">
        <v>153</v>
      </c>
      <c r="B12" s="15" t="s">
        <v>191</v>
      </c>
      <c r="C12" s="15"/>
      <c r="D12" s="15"/>
      <c r="E12" s="15"/>
      <c r="F12" s="15"/>
    </row>
    <row r="13" customFormat="false" ht="93" hidden="false" customHeight="true" outlineLevel="0" collapsed="false">
      <c r="A13" s="11" t="s">
        <v>155</v>
      </c>
      <c r="B13" s="15" t="s">
        <v>192</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IF(Obj_CS11[[#This Row],[Descripción]]="","",ROW()-ROW(Obj_CS11[[#Headers],[Objetivo]]))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74">
      <formula>$B4="En progreso"</formula>
    </cfRule>
    <cfRule type="expression" priority="3" aboveAverage="0" equalAverage="0" bottom="0" percent="0" rank="0" text="" dxfId="175">
      <formula>$B4="En espera"</formula>
    </cfRule>
    <cfRule type="expression" priority="4" aboveAverage="0" equalAverage="0" bottom="0" percent="0" rank="0" text="" dxfId="176">
      <formula>$B4="Finalizada"</formula>
    </cfRule>
    <cfRule type="expression" priority="5" aboveAverage="0" equalAverage="0" bottom="0" percent="0" rank="0" text="" dxfId="177">
      <formula>$B4="Sin página"</formula>
    </cfRule>
  </conditionalFormatting>
  <conditionalFormatting sqref="B5">
    <cfRule type="expression" priority="6" aboveAverage="0" equalAverage="0" bottom="0" percent="0" rank="0" text="" dxfId="178">
      <formula>$B5="I"</formula>
    </cfRule>
    <cfRule type="expression" priority="7" aboveAverage="0" equalAverage="0" bottom="0" percent="0" rank="0" text="" dxfId="179">
      <formula>$B5="N"</formula>
    </cfRule>
    <cfRule type="expression" priority="8" aboveAverage="0" equalAverage="0" bottom="0" percent="0" rank="0" text="" dxfId="180">
      <formula>$B5="M"</formula>
    </cfRule>
  </conditionalFormatting>
  <conditionalFormatting sqref="B6">
    <cfRule type="expression" priority="9" aboveAverage="0" equalAverage="0" bottom="0" percent="0" rank="0" text="" dxfId="181">
      <formula>$B6="Bajo"</formula>
    </cfRule>
    <cfRule type="expression" priority="10" aboveAverage="0" equalAverage="0" bottom="0" percent="0" rank="0" text="" dxfId="182">
      <formula>$B6="Medio bajo"</formula>
    </cfRule>
    <cfRule type="expression" priority="11" aboveAverage="0" equalAverage="0" bottom="0" percent="0" rank="0" text="" dxfId="183">
      <formula>$B6="Medio"</formula>
    </cfRule>
    <cfRule type="expression" priority="12" aboveAverage="0" equalAverage="0" bottom="0" percent="0" rank="0" text="" dxfId="184">
      <formula>$B6="Alto"</formula>
    </cfRule>
    <cfRule type="expression" priority="13" aboveAverage="0" equalAverage="0" bottom="0" percent="0" rank="0" text="" dxfId="185">
      <formula>$B6="Muy alto"</formula>
    </cfRule>
  </conditionalFormatting>
  <conditionalFormatting sqref="C17:C316">
    <cfRule type="expression" priority="14" aboveAverage="0" equalAverage="0" bottom="0" percent="0" rank="0" text="" dxfId="186">
      <formula>$C17="Sí"</formula>
    </cfRule>
    <cfRule type="expression" priority="15" aboveAverage="0" equalAverage="0" bottom="0" percent="0" rank="0" text="" dxfId="1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CS-12 · AGREGADOS DERIVADOS PARA BÚSQUEDA</v>
      </c>
      <c r="B1" s="9"/>
      <c r="C1" s="9"/>
      <c r="D1" s="9"/>
      <c r="E1" s="9"/>
      <c r="F1" s="10" t="s">
        <v>147</v>
      </c>
    </row>
    <row r="2" customFormat="false" ht="18" hidden="false" customHeight="true" outlineLevel="0" collapsed="false">
      <c r="A2" s="11" t="s">
        <v>3</v>
      </c>
      <c r="B2" s="12" t="s">
        <v>37</v>
      </c>
      <c r="C2" s="12"/>
      <c r="D2" s="12"/>
      <c r="E2" s="12"/>
      <c r="F2" s="12"/>
    </row>
    <row r="3" customFormat="false" ht="15" hidden="false" customHeight="true" outlineLevel="0" collapsed="false">
      <c r="A3" s="11" t="s">
        <v>4</v>
      </c>
      <c r="B3" s="13" t="str">
        <f aca="false">IFERROR(INDEX(Historias[Título],MATCH($B$2,Historias[Ref],0))&amp;"","")</f>
        <v>AGREGADOS DERIVADOS PARA BÚSQUEDA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193</v>
      </c>
      <c r="C11" s="15"/>
      <c r="D11" s="15"/>
      <c r="E11" s="15"/>
      <c r="F11" s="15"/>
    </row>
    <row r="12" customFormat="false" ht="48" hidden="false" customHeight="true" outlineLevel="0" collapsed="false">
      <c r="A12" s="11" t="s">
        <v>153</v>
      </c>
      <c r="B12" s="15" t="s">
        <v>194</v>
      </c>
      <c r="C12" s="15"/>
      <c r="D12" s="15"/>
      <c r="E12" s="15"/>
      <c r="F12" s="15"/>
    </row>
    <row r="13" customFormat="false" ht="78" hidden="false" customHeight="true" outlineLevel="0" collapsed="false">
      <c r="A13" s="11" t="s">
        <v>155</v>
      </c>
      <c r="B13" s="15" t="s">
        <v>195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IF(Obj_CS12[[#This Row],[Descripción]]="","",ROW()-ROW(Obj_CS12[[#Headers],[Objetivo]]))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188">
      <formula>$B4="En progreso"</formula>
    </cfRule>
    <cfRule type="expression" priority="3" aboveAverage="0" equalAverage="0" bottom="0" percent="0" rank="0" text="" dxfId="189">
      <formula>$B4="En espera"</formula>
    </cfRule>
    <cfRule type="expression" priority="4" aboveAverage="0" equalAverage="0" bottom="0" percent="0" rank="0" text="" dxfId="190">
      <formula>$B4="Finalizada"</formula>
    </cfRule>
    <cfRule type="expression" priority="5" aboveAverage="0" equalAverage="0" bottom="0" percent="0" rank="0" text="" dxfId="191">
      <formula>$B4="Sin página"</formula>
    </cfRule>
  </conditionalFormatting>
  <conditionalFormatting sqref="B5">
    <cfRule type="expression" priority="6" aboveAverage="0" equalAverage="0" bottom="0" percent="0" rank="0" text="" dxfId="192">
      <formula>$B5="I"</formula>
    </cfRule>
    <cfRule type="expression" priority="7" aboveAverage="0" equalAverage="0" bottom="0" percent="0" rank="0" text="" dxfId="193">
      <formula>$B5="N"</formula>
    </cfRule>
    <cfRule type="expression" priority="8" aboveAverage="0" equalAverage="0" bottom="0" percent="0" rank="0" text="" dxfId="194">
      <formula>$B5="M"</formula>
    </cfRule>
  </conditionalFormatting>
  <conditionalFormatting sqref="B6">
    <cfRule type="expression" priority="9" aboveAverage="0" equalAverage="0" bottom="0" percent="0" rank="0" text="" dxfId="195">
      <formula>$B6="Bajo"</formula>
    </cfRule>
    <cfRule type="expression" priority="10" aboveAverage="0" equalAverage="0" bottom="0" percent="0" rank="0" text="" dxfId="196">
      <formula>$B6="Medio bajo"</formula>
    </cfRule>
    <cfRule type="expression" priority="11" aboveAverage="0" equalAverage="0" bottom="0" percent="0" rank="0" text="" dxfId="197">
      <formula>$B6="Medio"</formula>
    </cfRule>
    <cfRule type="expression" priority="12" aboveAverage="0" equalAverage="0" bottom="0" percent="0" rank="0" text="" dxfId="198">
      <formula>$B6="Alto"</formula>
    </cfRule>
    <cfRule type="expression" priority="13" aboveAverage="0" equalAverage="0" bottom="0" percent="0" rank="0" text="" dxfId="199">
      <formula>$B6="Muy alto"</formula>
    </cfRule>
  </conditionalFormatting>
  <conditionalFormatting sqref="C17:C316">
    <cfRule type="expression" priority="14" aboveAverage="0" equalAverage="0" bottom="0" percent="0" rank="0" text="" dxfId="200">
      <formula>$C17="Sí"</formula>
    </cfRule>
    <cfRule type="expression" priority="15" aboveAverage="0" equalAverage="0" bottom="0" percent="0" rank="0" text="" dxfId="20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CS-13 · DETECCIÓN DE VALORACIONES SOSPECHOSAS</v>
      </c>
      <c r="B1" s="9"/>
      <c r="C1" s="9"/>
      <c r="D1" s="9"/>
      <c r="E1" s="9"/>
      <c r="F1" s="10" t="s">
        <v>147</v>
      </c>
    </row>
    <row r="2" customFormat="false" ht="18" hidden="false" customHeight="true" outlineLevel="0" collapsed="false">
      <c r="A2" s="11" t="s">
        <v>3</v>
      </c>
      <c r="B2" s="12" t="s">
        <v>39</v>
      </c>
      <c r="C2" s="12"/>
      <c r="D2" s="12"/>
      <c r="E2" s="12"/>
      <c r="F2" s="12"/>
    </row>
    <row r="3" customFormat="false" ht="15" hidden="false" customHeight="true" outlineLevel="0" collapsed="false">
      <c r="A3" s="11" t="s">
        <v>4</v>
      </c>
      <c r="B3" s="13" t="str">
        <f aca="false">IFERROR(INDEX(Historias[Título],MATCH($B$2,Historias[Ref],0))&amp;"","")</f>
        <v>DETECCIÓN DE VALORACIONES SOSPECHOSAS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20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196</v>
      </c>
      <c r="C11" s="15"/>
      <c r="D11" s="15"/>
      <c r="E11" s="15"/>
      <c r="F11" s="15"/>
    </row>
    <row r="12" customFormat="false" ht="48" hidden="false" customHeight="true" outlineLevel="0" collapsed="false">
      <c r="A12" s="11" t="s">
        <v>153</v>
      </c>
      <c r="B12" s="15" t="s">
        <v>197</v>
      </c>
      <c r="C12" s="15"/>
      <c r="D12" s="15"/>
      <c r="E12" s="15"/>
      <c r="F12" s="15"/>
    </row>
    <row r="13" customFormat="false" ht="93" hidden="false" customHeight="true" outlineLevel="0" collapsed="false">
      <c r="A13" s="11" t="s">
        <v>155</v>
      </c>
      <c r="B13" s="15" t="s">
        <v>198</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IF(Obj_CS13[[#This Row],[Descripción]]="","",ROW()-ROW(Obj_CS13[[#Headers],[Objetivo]]))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02">
      <formula>$B4="En progreso"</formula>
    </cfRule>
    <cfRule type="expression" priority="3" aboveAverage="0" equalAverage="0" bottom="0" percent="0" rank="0" text="" dxfId="203">
      <formula>$B4="En espera"</formula>
    </cfRule>
    <cfRule type="expression" priority="4" aboveAverage="0" equalAverage="0" bottom="0" percent="0" rank="0" text="" dxfId="204">
      <formula>$B4="Finalizada"</formula>
    </cfRule>
    <cfRule type="expression" priority="5" aboveAverage="0" equalAverage="0" bottom="0" percent="0" rank="0" text="" dxfId="205">
      <formula>$B4="Sin página"</formula>
    </cfRule>
  </conditionalFormatting>
  <conditionalFormatting sqref="B5">
    <cfRule type="expression" priority="6" aboveAverage="0" equalAverage="0" bottom="0" percent="0" rank="0" text="" dxfId="206">
      <formula>$B5="I"</formula>
    </cfRule>
    <cfRule type="expression" priority="7" aboveAverage="0" equalAverage="0" bottom="0" percent="0" rank="0" text="" dxfId="207">
      <formula>$B5="N"</formula>
    </cfRule>
    <cfRule type="expression" priority="8" aboveAverage="0" equalAverage="0" bottom="0" percent="0" rank="0" text="" dxfId="208">
      <formula>$B5="M"</formula>
    </cfRule>
  </conditionalFormatting>
  <conditionalFormatting sqref="B6">
    <cfRule type="expression" priority="9" aboveAverage="0" equalAverage="0" bottom="0" percent="0" rank="0" text="" dxfId="209">
      <formula>$B6="Bajo"</formula>
    </cfRule>
    <cfRule type="expression" priority="10" aboveAverage="0" equalAverage="0" bottom="0" percent="0" rank="0" text="" dxfId="210">
      <formula>$B6="Medio bajo"</formula>
    </cfRule>
    <cfRule type="expression" priority="11" aboveAverage="0" equalAverage="0" bottom="0" percent="0" rank="0" text="" dxfId="211">
      <formula>$B6="Medio"</formula>
    </cfRule>
    <cfRule type="expression" priority="12" aboveAverage="0" equalAverage="0" bottom="0" percent="0" rank="0" text="" dxfId="212">
      <formula>$B6="Alto"</formula>
    </cfRule>
    <cfRule type="expression" priority="13" aboveAverage="0" equalAverage="0" bottom="0" percent="0" rank="0" text="" dxfId="213">
      <formula>$B6="Muy alto"</formula>
    </cfRule>
  </conditionalFormatting>
  <conditionalFormatting sqref="C17:C316">
    <cfRule type="expression" priority="14" aboveAverage="0" equalAverage="0" bottom="0" percent="0" rank="0" text="" dxfId="214">
      <formula>$C17="Sí"</formula>
    </cfRule>
    <cfRule type="expression" priority="15" aboveAverage="0" equalAverage="0" bottom="0" percent="0" rank="0" text="" dxfId="21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CS-14 · RESUMEN DE VALORACIONES DE UNA EXPERIENCIA</v>
      </c>
      <c r="B1" s="9"/>
      <c r="C1" s="9"/>
      <c r="D1" s="9"/>
      <c r="E1" s="9"/>
      <c r="F1" s="10" t="s">
        <v>147</v>
      </c>
    </row>
    <row r="2" customFormat="false" ht="18" hidden="false" customHeight="true" outlineLevel="0" collapsed="false">
      <c r="A2" s="11" t="s">
        <v>3</v>
      </c>
      <c r="B2" s="12" t="s">
        <v>42</v>
      </c>
      <c r="C2" s="12"/>
      <c r="D2" s="12"/>
      <c r="E2" s="12"/>
      <c r="F2" s="12"/>
    </row>
    <row r="3" customFormat="false" ht="15" hidden="false" customHeight="true" outlineLevel="0" collapsed="false">
      <c r="A3" s="11" t="s">
        <v>4</v>
      </c>
      <c r="B3" s="13" t="str">
        <f aca="false">IFERROR(INDEX(Historias[Título],MATCH($B$2,Historias[Ref],0))&amp;"","")</f>
        <v>RESUMEN DE VALORACIONES DE UNA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Muy alto</v>
      </c>
      <c r="C6" s="13"/>
      <c r="D6" s="13"/>
      <c r="E6" s="13"/>
      <c r="F6" s="13"/>
    </row>
    <row r="7" customFormat="false" ht="15" hidden="false" customHeight="true" outlineLevel="0" collapsed="false">
      <c r="A7" s="11" t="s">
        <v>7</v>
      </c>
      <c r="B7" s="14" t="n">
        <f aca="false">IFERROR(INDEX(Historias[Tiempo estimado],MATCH($B$2,Historias[Ref],0)),"")</f>
        <v>20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199</v>
      </c>
      <c r="C11" s="15"/>
      <c r="D11" s="15"/>
      <c r="E11" s="15"/>
      <c r="F11" s="15"/>
    </row>
    <row r="12" customFormat="false" ht="63" hidden="false" customHeight="true" outlineLevel="0" collapsed="false">
      <c r="A12" s="11" t="s">
        <v>153</v>
      </c>
      <c r="B12" s="15" t="s">
        <v>200</v>
      </c>
      <c r="C12" s="15"/>
      <c r="D12" s="15"/>
      <c r="E12" s="15"/>
      <c r="F12" s="15"/>
    </row>
    <row r="13" customFormat="false" ht="78" hidden="false" customHeight="true" outlineLevel="0" collapsed="false">
      <c r="A13" s="11" t="s">
        <v>155</v>
      </c>
      <c r="B13" s="15" t="s">
        <v>201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IF(Obj_CS14[[#This Row],[Descripción]]="","",ROW()-ROW(Obj_CS14[[#Headers],[Objetivo]]))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16">
      <formula>$B4="En progreso"</formula>
    </cfRule>
    <cfRule type="expression" priority="3" aboveAverage="0" equalAverage="0" bottom="0" percent="0" rank="0" text="" dxfId="217">
      <formula>$B4="En espera"</formula>
    </cfRule>
    <cfRule type="expression" priority="4" aboveAverage="0" equalAverage="0" bottom="0" percent="0" rank="0" text="" dxfId="218">
      <formula>$B4="Finalizada"</formula>
    </cfRule>
    <cfRule type="expression" priority="5" aboveAverage="0" equalAverage="0" bottom="0" percent="0" rank="0" text="" dxfId="219">
      <formula>$B4="Sin página"</formula>
    </cfRule>
  </conditionalFormatting>
  <conditionalFormatting sqref="B5">
    <cfRule type="expression" priority="6" aboveAverage="0" equalAverage="0" bottom="0" percent="0" rank="0" text="" dxfId="220">
      <formula>$B5="I"</formula>
    </cfRule>
    <cfRule type="expression" priority="7" aboveAverage="0" equalAverage="0" bottom="0" percent="0" rank="0" text="" dxfId="221">
      <formula>$B5="N"</formula>
    </cfRule>
    <cfRule type="expression" priority="8" aboveAverage="0" equalAverage="0" bottom="0" percent="0" rank="0" text="" dxfId="222">
      <formula>$B5="M"</formula>
    </cfRule>
  </conditionalFormatting>
  <conditionalFormatting sqref="B6">
    <cfRule type="expression" priority="9" aboveAverage="0" equalAverage="0" bottom="0" percent="0" rank="0" text="" dxfId="223">
      <formula>$B6="Bajo"</formula>
    </cfRule>
    <cfRule type="expression" priority="10" aboveAverage="0" equalAverage="0" bottom="0" percent="0" rank="0" text="" dxfId="224">
      <formula>$B6="Medio bajo"</formula>
    </cfRule>
    <cfRule type="expression" priority="11" aboveAverage="0" equalAverage="0" bottom="0" percent="0" rank="0" text="" dxfId="225">
      <formula>$B6="Medio"</formula>
    </cfRule>
    <cfRule type="expression" priority="12" aboveAverage="0" equalAverage="0" bottom="0" percent="0" rank="0" text="" dxfId="226">
      <formula>$B6="Alto"</formula>
    </cfRule>
    <cfRule type="expression" priority="13" aboveAverage="0" equalAverage="0" bottom="0" percent="0" rank="0" text="" dxfId="227">
      <formula>$B6="Muy alto"</formula>
    </cfRule>
  </conditionalFormatting>
  <conditionalFormatting sqref="C17:C316">
    <cfRule type="expression" priority="14" aboveAverage="0" equalAverage="0" bottom="0" percent="0" rank="0" text="" dxfId="228">
      <formula>$C17="Sí"</formula>
    </cfRule>
    <cfRule type="expression" priority="15" aboveAverage="0" equalAverage="0" bottom="0" percent="0" rank="0" text="" dxfId="22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CS-15 · CICLO DE VIDA DEL AVISO DE DATO OBSOLETO</v>
      </c>
      <c r="B1" s="9"/>
      <c r="C1" s="9"/>
      <c r="D1" s="9"/>
      <c r="E1" s="9"/>
      <c r="F1" s="10" t="s">
        <v>147</v>
      </c>
    </row>
    <row r="2" customFormat="false" ht="18" hidden="false" customHeight="true" outlineLevel="0" collapsed="false">
      <c r="A2" s="11" t="s">
        <v>3</v>
      </c>
      <c r="B2" s="12" t="s">
        <v>45</v>
      </c>
      <c r="C2" s="12"/>
      <c r="D2" s="12"/>
      <c r="E2" s="12"/>
      <c r="F2" s="12"/>
    </row>
    <row r="3" customFormat="false" ht="15" hidden="false" customHeight="true" outlineLevel="0" collapsed="false">
      <c r="A3" s="11" t="s">
        <v>4</v>
      </c>
      <c r="B3" s="13" t="str">
        <f aca="false">IFERROR(INDEX(Historias[Título],MATCH($B$2,Historias[Ref],0))&amp;"","")</f>
        <v>CICLO DE VIDA DEL AVISO DE DATO OBSOLETO</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202</v>
      </c>
      <c r="C11" s="15"/>
      <c r="D11" s="15"/>
      <c r="E11" s="15"/>
      <c r="F11" s="15"/>
    </row>
    <row r="12" customFormat="false" ht="48" hidden="false" customHeight="true" outlineLevel="0" collapsed="false">
      <c r="A12" s="11" t="s">
        <v>153</v>
      </c>
      <c r="B12" s="15" t="s">
        <v>203</v>
      </c>
      <c r="C12" s="15"/>
      <c r="D12" s="15"/>
      <c r="E12" s="15"/>
      <c r="F12" s="15"/>
    </row>
    <row r="13" customFormat="false" ht="93" hidden="false" customHeight="true" outlineLevel="0" collapsed="false">
      <c r="A13" s="11" t="s">
        <v>155</v>
      </c>
      <c r="B13" s="15" t="s">
        <v>204</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IF(Obj_CS15[[#This Row],[Descripción]]="","",ROW()-ROW(Obj_CS15[[#Headers],[Objetivo]]))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30">
      <formula>$B4="En progreso"</formula>
    </cfRule>
    <cfRule type="expression" priority="3" aboveAverage="0" equalAverage="0" bottom="0" percent="0" rank="0" text="" dxfId="231">
      <formula>$B4="En espera"</formula>
    </cfRule>
    <cfRule type="expression" priority="4" aboveAverage="0" equalAverage="0" bottom="0" percent="0" rank="0" text="" dxfId="232">
      <formula>$B4="Finalizada"</formula>
    </cfRule>
    <cfRule type="expression" priority="5" aboveAverage="0" equalAverage="0" bottom="0" percent="0" rank="0" text="" dxfId="233">
      <formula>$B4="Sin página"</formula>
    </cfRule>
  </conditionalFormatting>
  <conditionalFormatting sqref="B5">
    <cfRule type="expression" priority="6" aboveAverage="0" equalAverage="0" bottom="0" percent="0" rank="0" text="" dxfId="234">
      <formula>$B5="I"</formula>
    </cfRule>
    <cfRule type="expression" priority="7" aboveAverage="0" equalAverage="0" bottom="0" percent="0" rank="0" text="" dxfId="235">
      <formula>$B5="N"</formula>
    </cfRule>
    <cfRule type="expression" priority="8" aboveAverage="0" equalAverage="0" bottom="0" percent="0" rank="0" text="" dxfId="236">
      <formula>$B5="M"</formula>
    </cfRule>
  </conditionalFormatting>
  <conditionalFormatting sqref="B6">
    <cfRule type="expression" priority="9" aboveAverage="0" equalAverage="0" bottom="0" percent="0" rank="0" text="" dxfId="237">
      <formula>$B6="Bajo"</formula>
    </cfRule>
    <cfRule type="expression" priority="10" aboveAverage="0" equalAverage="0" bottom="0" percent="0" rank="0" text="" dxfId="238">
      <formula>$B6="Medio bajo"</formula>
    </cfRule>
    <cfRule type="expression" priority="11" aboveAverage="0" equalAverage="0" bottom="0" percent="0" rank="0" text="" dxfId="239">
      <formula>$B6="Medio"</formula>
    </cfRule>
    <cfRule type="expression" priority="12" aboveAverage="0" equalAverage="0" bottom="0" percent="0" rank="0" text="" dxfId="240">
      <formula>$B6="Alto"</formula>
    </cfRule>
    <cfRule type="expression" priority="13" aboveAverage="0" equalAverage="0" bottom="0" percent="0" rank="0" text="" dxfId="241">
      <formula>$B6="Muy alto"</formula>
    </cfRule>
  </conditionalFormatting>
  <conditionalFormatting sqref="C17:C316">
    <cfRule type="expression" priority="14" aboveAverage="0" equalAverage="0" bottom="0" percent="0" rank="0" text="" dxfId="242">
      <formula>$C17="Sí"</formula>
    </cfRule>
    <cfRule type="expression" priority="15" aboveAverage="0" equalAverage="0" bottom="0" percent="0" rank="0" text="" dxfId="24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CS-16 · OCULTACIÓN PREVENTIVA POR UMBRAL DE REPORTES</v>
      </c>
      <c r="B1" s="9"/>
      <c r="C1" s="9"/>
      <c r="D1" s="9"/>
      <c r="E1" s="9"/>
      <c r="F1" s="10" t="s">
        <v>147</v>
      </c>
    </row>
    <row r="2" customFormat="false" ht="18" hidden="false" customHeight="true" outlineLevel="0" collapsed="false">
      <c r="A2" s="11" t="s">
        <v>3</v>
      </c>
      <c r="B2" s="12" t="s">
        <v>47</v>
      </c>
      <c r="C2" s="12"/>
      <c r="D2" s="12"/>
      <c r="E2" s="12"/>
      <c r="F2" s="12"/>
    </row>
    <row r="3" customFormat="false" ht="15" hidden="false" customHeight="true" outlineLevel="0" collapsed="false">
      <c r="A3" s="11" t="s">
        <v>4</v>
      </c>
      <c r="B3" s="13" t="str">
        <f aca="false">IFERROR(INDEX(Historias[Título],MATCH($B$2,Historias[Ref],0))&amp;"","")</f>
        <v>OCULTACIÓN PREVENTIVA POR UMBRAL DE REPORTES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205</v>
      </c>
      <c r="C11" s="15"/>
      <c r="D11" s="15"/>
      <c r="E11" s="15"/>
      <c r="F11" s="15"/>
    </row>
    <row r="12" customFormat="false" ht="48" hidden="false" customHeight="true" outlineLevel="0" collapsed="false">
      <c r="A12" s="11" t="s">
        <v>153</v>
      </c>
      <c r="B12" s="15" t="s">
        <v>206</v>
      </c>
      <c r="C12" s="15"/>
      <c r="D12" s="15"/>
      <c r="E12" s="15"/>
      <c r="F12" s="15"/>
    </row>
    <row r="13" customFormat="false" ht="78" hidden="false" customHeight="true" outlineLevel="0" collapsed="false">
      <c r="A13" s="11" t="s">
        <v>155</v>
      </c>
      <c r="B13" s="15" t="s">
        <v>207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IF(Obj_CS16[[#This Row],[Descripción]]="","",ROW()-ROW(Obj_CS16[[#Headers],[Objetivo]]))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44">
      <formula>$B4="En progreso"</formula>
    </cfRule>
    <cfRule type="expression" priority="3" aboveAverage="0" equalAverage="0" bottom="0" percent="0" rank="0" text="" dxfId="245">
      <formula>$B4="En espera"</formula>
    </cfRule>
    <cfRule type="expression" priority="4" aboveAverage="0" equalAverage="0" bottom="0" percent="0" rank="0" text="" dxfId="246">
      <formula>$B4="Finalizada"</formula>
    </cfRule>
    <cfRule type="expression" priority="5" aboveAverage="0" equalAverage="0" bottom="0" percent="0" rank="0" text="" dxfId="247">
      <formula>$B4="Sin página"</formula>
    </cfRule>
  </conditionalFormatting>
  <conditionalFormatting sqref="B5">
    <cfRule type="expression" priority="6" aboveAverage="0" equalAverage="0" bottom="0" percent="0" rank="0" text="" dxfId="248">
      <formula>$B5="I"</formula>
    </cfRule>
    <cfRule type="expression" priority="7" aboveAverage="0" equalAverage="0" bottom="0" percent="0" rank="0" text="" dxfId="249">
      <formula>$B5="N"</formula>
    </cfRule>
    <cfRule type="expression" priority="8" aboveAverage="0" equalAverage="0" bottom="0" percent="0" rank="0" text="" dxfId="250">
      <formula>$B5="M"</formula>
    </cfRule>
  </conditionalFormatting>
  <conditionalFormatting sqref="B6">
    <cfRule type="expression" priority="9" aboveAverage="0" equalAverage="0" bottom="0" percent="0" rank="0" text="" dxfId="251">
      <formula>$B6="Bajo"</formula>
    </cfRule>
    <cfRule type="expression" priority="10" aboveAverage="0" equalAverage="0" bottom="0" percent="0" rank="0" text="" dxfId="252">
      <formula>$B6="Medio bajo"</formula>
    </cfRule>
    <cfRule type="expression" priority="11" aboveAverage="0" equalAverage="0" bottom="0" percent="0" rank="0" text="" dxfId="253">
      <formula>$B6="Medio"</formula>
    </cfRule>
    <cfRule type="expression" priority="12" aboveAverage="0" equalAverage="0" bottom="0" percent="0" rank="0" text="" dxfId="254">
      <formula>$B6="Alto"</formula>
    </cfRule>
    <cfRule type="expression" priority="13" aboveAverage="0" equalAverage="0" bottom="0" percent="0" rank="0" text="" dxfId="255">
      <formula>$B6="Muy alto"</formula>
    </cfRule>
  </conditionalFormatting>
  <conditionalFormatting sqref="C17:C316">
    <cfRule type="expression" priority="14" aboveAverage="0" equalAverage="0" bottom="0" percent="0" rank="0" text="" dxfId="256">
      <formula>$C17="Sí"</formula>
    </cfRule>
    <cfRule type="expression" priority="15" aboveAverage="0" equalAverage="0" bottom="0" percent="0" rank="0" text="" dxfId="25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CS-17 · DETECCIÓN AUTOMÁTICA DE PUBLICIDAD ENCUBIERTA</v>
      </c>
      <c r="B1" s="9"/>
      <c r="C1" s="9"/>
      <c r="D1" s="9"/>
      <c r="E1" s="9"/>
      <c r="F1" s="10" t="s">
        <v>147</v>
      </c>
    </row>
    <row r="2" customFormat="false" ht="18" hidden="false" customHeight="true" outlineLevel="0" collapsed="false">
      <c r="A2" s="11" t="s">
        <v>3</v>
      </c>
      <c r="B2" s="12" t="s">
        <v>49</v>
      </c>
      <c r="C2" s="12"/>
      <c r="D2" s="12"/>
      <c r="E2" s="12"/>
      <c r="F2" s="12"/>
    </row>
    <row r="3" customFormat="false" ht="15" hidden="false" customHeight="true" outlineLevel="0" collapsed="false">
      <c r="A3" s="11" t="s">
        <v>4</v>
      </c>
      <c r="B3" s="13" t="str">
        <f aca="false">IFERROR(INDEX(Historias[Título],MATCH($B$2,Historias[Ref],0))&amp;"","")</f>
        <v>DETECCIÓN AUTOMÁTICA DE PUBLICIDAD ENCUBIERTA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40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208</v>
      </c>
      <c r="C11" s="15"/>
      <c r="D11" s="15"/>
      <c r="E11" s="15"/>
      <c r="F11" s="15"/>
    </row>
    <row r="12" customFormat="false" ht="63" hidden="false" customHeight="true" outlineLevel="0" collapsed="false">
      <c r="A12" s="11" t="s">
        <v>153</v>
      </c>
      <c r="B12" s="15" t="s">
        <v>209</v>
      </c>
      <c r="C12" s="15"/>
      <c r="D12" s="15"/>
      <c r="E12" s="15"/>
      <c r="F12" s="15"/>
    </row>
    <row r="13" customFormat="false" ht="78" hidden="false" customHeight="true" outlineLevel="0" collapsed="false">
      <c r="A13" s="11" t="s">
        <v>155</v>
      </c>
      <c r="B13" s="15" t="s">
        <v>210</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IF(Obj_CS17[[#This Row],[Descripción]]="","",ROW()-ROW(Obj_CS17[[#Headers],[Objetivo]]))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58">
      <formula>$B4="En progreso"</formula>
    </cfRule>
    <cfRule type="expression" priority="3" aboveAverage="0" equalAverage="0" bottom="0" percent="0" rank="0" text="" dxfId="259">
      <formula>$B4="En espera"</formula>
    </cfRule>
    <cfRule type="expression" priority="4" aboveAverage="0" equalAverage="0" bottom="0" percent="0" rank="0" text="" dxfId="260">
      <formula>$B4="Finalizada"</formula>
    </cfRule>
    <cfRule type="expression" priority="5" aboveAverage="0" equalAverage="0" bottom="0" percent="0" rank="0" text="" dxfId="261">
      <formula>$B4="Sin página"</formula>
    </cfRule>
  </conditionalFormatting>
  <conditionalFormatting sqref="B5">
    <cfRule type="expression" priority="6" aboveAverage="0" equalAverage="0" bottom="0" percent="0" rank="0" text="" dxfId="262">
      <formula>$B5="I"</formula>
    </cfRule>
    <cfRule type="expression" priority="7" aboveAverage="0" equalAverage="0" bottom="0" percent="0" rank="0" text="" dxfId="263">
      <formula>$B5="N"</formula>
    </cfRule>
    <cfRule type="expression" priority="8" aboveAverage="0" equalAverage="0" bottom="0" percent="0" rank="0" text="" dxfId="264">
      <formula>$B5="M"</formula>
    </cfRule>
  </conditionalFormatting>
  <conditionalFormatting sqref="B6">
    <cfRule type="expression" priority="9" aboveAverage="0" equalAverage="0" bottom="0" percent="0" rank="0" text="" dxfId="265">
      <formula>$B6="Bajo"</formula>
    </cfRule>
    <cfRule type="expression" priority="10" aboveAverage="0" equalAverage="0" bottom="0" percent="0" rank="0" text="" dxfId="266">
      <formula>$B6="Medio bajo"</formula>
    </cfRule>
    <cfRule type="expression" priority="11" aboveAverage="0" equalAverage="0" bottom="0" percent="0" rank="0" text="" dxfId="267">
      <formula>$B6="Medio"</formula>
    </cfRule>
    <cfRule type="expression" priority="12" aboveAverage="0" equalAverage="0" bottom="0" percent="0" rank="0" text="" dxfId="268">
      <formula>$B6="Alto"</formula>
    </cfRule>
    <cfRule type="expression" priority="13" aboveAverage="0" equalAverage="0" bottom="0" percent="0" rank="0" text="" dxfId="269">
      <formula>$B6="Muy alto"</formula>
    </cfRule>
  </conditionalFormatting>
  <conditionalFormatting sqref="C17:C316">
    <cfRule type="expression" priority="14" aboveAverage="0" equalAverage="0" bottom="0" percent="0" rank="0" text="" dxfId="270">
      <formula>$C17="Sí"</formula>
    </cfRule>
    <cfRule type="expression" priority="15" aboveAverage="0" equalAverage="0" bottom="0" percent="0" rank="0" text="" dxfId="27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CS-18 · SANCIONES A AUTORES REINCIDENTES</v>
      </c>
      <c r="B1" s="9"/>
      <c r="C1" s="9"/>
      <c r="D1" s="9"/>
      <c r="E1" s="9"/>
      <c r="F1" s="10" t="s">
        <v>147</v>
      </c>
    </row>
    <row r="2" customFormat="false" ht="18" hidden="false" customHeight="true" outlineLevel="0" collapsed="false">
      <c r="A2" s="11" t="s">
        <v>3</v>
      </c>
      <c r="B2" s="12" t="s">
        <v>52</v>
      </c>
      <c r="C2" s="12"/>
      <c r="D2" s="12"/>
      <c r="E2" s="12"/>
      <c r="F2" s="12"/>
    </row>
    <row r="3" customFormat="false" ht="15" hidden="false" customHeight="true" outlineLevel="0" collapsed="false">
      <c r="A3" s="11" t="s">
        <v>4</v>
      </c>
      <c r="B3" s="13" t="str">
        <f aca="false">IFERROR(INDEX(Historias[Título],MATCH($B$2,Historias[Ref],0))&amp;"","")</f>
        <v>SANCIONES A AUTORES REINCIDENTES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211</v>
      </c>
      <c r="C11" s="15"/>
      <c r="D11" s="15"/>
      <c r="E11" s="15"/>
      <c r="F11" s="15"/>
    </row>
    <row r="12" customFormat="false" ht="63" hidden="false" customHeight="true" outlineLevel="0" collapsed="false">
      <c r="A12" s="11" t="s">
        <v>153</v>
      </c>
      <c r="B12" s="15" t="s">
        <v>212</v>
      </c>
      <c r="C12" s="15"/>
      <c r="D12" s="15"/>
      <c r="E12" s="15"/>
      <c r="F12" s="15"/>
    </row>
    <row r="13" customFormat="false" ht="93" hidden="false" customHeight="true" outlineLevel="0" collapsed="false">
      <c r="A13" s="11" t="s">
        <v>155</v>
      </c>
      <c r="B13" s="15" t="s">
        <v>213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IF(Obj_CS18[[#This Row],[Descripción]]="","",ROW()-ROW(Obj_CS18[[#Headers],[Objetivo]]))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72">
      <formula>$B4="En progreso"</formula>
    </cfRule>
    <cfRule type="expression" priority="3" aboveAverage="0" equalAverage="0" bottom="0" percent="0" rank="0" text="" dxfId="273">
      <formula>$B4="En espera"</formula>
    </cfRule>
    <cfRule type="expression" priority="4" aboveAverage="0" equalAverage="0" bottom="0" percent="0" rank="0" text="" dxfId="274">
      <formula>$B4="Finalizada"</formula>
    </cfRule>
    <cfRule type="expression" priority="5" aboveAverage="0" equalAverage="0" bottom="0" percent="0" rank="0" text="" dxfId="275">
      <formula>$B4="Sin página"</formula>
    </cfRule>
  </conditionalFormatting>
  <conditionalFormatting sqref="B5">
    <cfRule type="expression" priority="6" aboveAverage="0" equalAverage="0" bottom="0" percent="0" rank="0" text="" dxfId="276">
      <formula>$B5="I"</formula>
    </cfRule>
    <cfRule type="expression" priority="7" aboveAverage="0" equalAverage="0" bottom="0" percent="0" rank="0" text="" dxfId="277">
      <formula>$B5="N"</formula>
    </cfRule>
    <cfRule type="expression" priority="8" aboveAverage="0" equalAverage="0" bottom="0" percent="0" rank="0" text="" dxfId="278">
      <formula>$B5="M"</formula>
    </cfRule>
  </conditionalFormatting>
  <conditionalFormatting sqref="B6">
    <cfRule type="expression" priority="9" aboveAverage="0" equalAverage="0" bottom="0" percent="0" rank="0" text="" dxfId="279">
      <formula>$B6="Bajo"</formula>
    </cfRule>
    <cfRule type="expression" priority="10" aboveAverage="0" equalAverage="0" bottom="0" percent="0" rank="0" text="" dxfId="280">
      <formula>$B6="Medio bajo"</formula>
    </cfRule>
    <cfRule type="expression" priority="11" aboveAverage="0" equalAverage="0" bottom="0" percent="0" rank="0" text="" dxfId="281">
      <formula>$B6="Medio"</formula>
    </cfRule>
    <cfRule type="expression" priority="12" aboveAverage="0" equalAverage="0" bottom="0" percent="0" rank="0" text="" dxfId="282">
      <formula>$B6="Alto"</formula>
    </cfRule>
    <cfRule type="expression" priority="13" aboveAverage="0" equalAverage="0" bottom="0" percent="0" rank="0" text="" dxfId="283">
      <formula>$B6="Muy alto"</formula>
    </cfRule>
  </conditionalFormatting>
  <conditionalFormatting sqref="C17:C316">
    <cfRule type="expression" priority="14" aboveAverage="0" equalAverage="0" bottom="0" percent="0" rank="0" text="" dxfId="284">
      <formula>$C17="Sí"</formula>
    </cfRule>
    <cfRule type="expression" priority="15" aboveAverage="0" equalAverage="0" bottom="0" percent="0" rank="0" text="" dxfId="28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CS-19 · AVISOS DE MODERACIÓN (RETIRADA Y RESOLUCIÓN)</v>
      </c>
      <c r="B1" s="9"/>
      <c r="C1" s="9"/>
      <c r="D1" s="9"/>
      <c r="E1" s="9"/>
      <c r="F1" s="10" t="s">
        <v>147</v>
      </c>
    </row>
    <row r="2" customFormat="false" ht="18" hidden="false" customHeight="true" outlineLevel="0" collapsed="false">
      <c r="A2" s="11" t="s">
        <v>3</v>
      </c>
      <c r="B2" s="12" t="s">
        <v>54</v>
      </c>
      <c r="C2" s="12"/>
      <c r="D2" s="12"/>
      <c r="E2" s="12"/>
      <c r="F2" s="12"/>
    </row>
    <row r="3" customFormat="false" ht="15" hidden="false" customHeight="true" outlineLevel="0" collapsed="false">
      <c r="A3" s="11" t="s">
        <v>4</v>
      </c>
      <c r="B3" s="13" t="str">
        <f aca="false">IFERROR(INDEX(Historias[Título],MATCH($B$2,Historias[Ref],0))&amp;"","")</f>
        <v>AVISOS DE MODERACIÓN (RETIRADA Y RESOLUCIÓN)</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214</v>
      </c>
      <c r="C11" s="15"/>
      <c r="D11" s="15"/>
      <c r="E11" s="15"/>
      <c r="F11" s="15"/>
    </row>
    <row r="12" customFormat="false" ht="48" hidden="false" customHeight="true" outlineLevel="0" collapsed="false">
      <c r="A12" s="11" t="s">
        <v>153</v>
      </c>
      <c r="B12" s="15" t="s">
        <v>215</v>
      </c>
      <c r="C12" s="15"/>
      <c r="D12" s="15"/>
      <c r="E12" s="15"/>
      <c r="F12" s="15"/>
    </row>
    <row r="13" customFormat="false" ht="78" hidden="false" customHeight="true" outlineLevel="0" collapsed="false">
      <c r="A13" s="11" t="s">
        <v>155</v>
      </c>
      <c r="B13" s="15" t="s">
        <v>216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IF(Obj_CS19[[#This Row],[Descripción]]="","",ROW()-ROW(Obj_CS19[[#Headers],[Objetivo]]))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286">
      <formula>$B4="En progreso"</formula>
    </cfRule>
    <cfRule type="expression" priority="3" aboveAverage="0" equalAverage="0" bottom="0" percent="0" rank="0" text="" dxfId="287">
      <formula>$B4="En espera"</formula>
    </cfRule>
    <cfRule type="expression" priority="4" aboveAverage="0" equalAverage="0" bottom="0" percent="0" rank="0" text="" dxfId="288">
      <formula>$B4="Finalizada"</formula>
    </cfRule>
    <cfRule type="expression" priority="5" aboveAverage="0" equalAverage="0" bottom="0" percent="0" rank="0" text="" dxfId="289">
      <formula>$B4="Sin página"</formula>
    </cfRule>
  </conditionalFormatting>
  <conditionalFormatting sqref="B5">
    <cfRule type="expression" priority="6" aboveAverage="0" equalAverage="0" bottom="0" percent="0" rank="0" text="" dxfId="290">
      <formula>$B5="I"</formula>
    </cfRule>
    <cfRule type="expression" priority="7" aboveAverage="0" equalAverage="0" bottom="0" percent="0" rank="0" text="" dxfId="291">
      <formula>$B5="N"</formula>
    </cfRule>
    <cfRule type="expression" priority="8" aboveAverage="0" equalAverage="0" bottom="0" percent="0" rank="0" text="" dxfId="292">
      <formula>$B5="M"</formula>
    </cfRule>
  </conditionalFormatting>
  <conditionalFormatting sqref="B6">
    <cfRule type="expression" priority="9" aboveAverage="0" equalAverage="0" bottom="0" percent="0" rank="0" text="" dxfId="293">
      <formula>$B6="Bajo"</formula>
    </cfRule>
    <cfRule type="expression" priority="10" aboveAverage="0" equalAverage="0" bottom="0" percent="0" rank="0" text="" dxfId="294">
      <formula>$B6="Medio bajo"</formula>
    </cfRule>
    <cfRule type="expression" priority="11" aboveAverage="0" equalAverage="0" bottom="0" percent="0" rank="0" text="" dxfId="295">
      <formula>$B6="Medio"</formula>
    </cfRule>
    <cfRule type="expression" priority="12" aboveAverage="0" equalAverage="0" bottom="0" percent="0" rank="0" text="" dxfId="296">
      <formula>$B6="Alto"</formula>
    </cfRule>
    <cfRule type="expression" priority="13" aboveAverage="0" equalAverage="0" bottom="0" percent="0" rank="0" text="" dxfId="297">
      <formula>$B6="Muy alto"</formula>
    </cfRule>
  </conditionalFormatting>
  <conditionalFormatting sqref="C17:C316">
    <cfRule type="expression" priority="14" aboveAverage="0" equalAverage="0" bottom="0" percent="0" rank="0" text="" dxfId="298">
      <formula>$C17="Sí"</formula>
    </cfRule>
    <cfRule type="expression" priority="15" aboveAverage="0" equalAverage="0" bottom="0" percent="0" rank="0" text="" dxfId="29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CS-20 · AGRUPACIÓN Y LÍMITE DE FRECUENCIA DE AVISOS</v>
      </c>
      <c r="B1" s="9"/>
      <c r="C1" s="9"/>
      <c r="D1" s="9"/>
      <c r="E1" s="9"/>
      <c r="F1" s="10" t="s">
        <v>147</v>
      </c>
    </row>
    <row r="2" customFormat="false" ht="18" hidden="false" customHeight="true" outlineLevel="0" collapsed="false">
      <c r="A2" s="11" t="s">
        <v>3</v>
      </c>
      <c r="B2" s="12" t="s">
        <v>56</v>
      </c>
      <c r="C2" s="12"/>
      <c r="D2" s="12"/>
      <c r="E2" s="12"/>
      <c r="F2" s="12"/>
    </row>
    <row r="3" customFormat="false" ht="15" hidden="false" customHeight="true" outlineLevel="0" collapsed="false">
      <c r="A3" s="11" t="s">
        <v>4</v>
      </c>
      <c r="B3" s="13" t="str">
        <f aca="false">IFERROR(INDEX(Historias[Título],MATCH($B$2,Historias[Ref],0))&amp;"","")</f>
        <v>AGRUPACIÓN Y LÍMITE DE FRECUENCIA DE AVISOS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5</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217</v>
      </c>
      <c r="C11" s="15"/>
      <c r="D11" s="15"/>
      <c r="E11" s="15"/>
      <c r="F11" s="15"/>
    </row>
    <row r="12" customFormat="false" ht="63" hidden="false" customHeight="true" outlineLevel="0" collapsed="false">
      <c r="A12" s="11" t="s">
        <v>153</v>
      </c>
      <c r="B12" s="15" t="s">
        <v>218</v>
      </c>
      <c r="C12" s="15"/>
      <c r="D12" s="15"/>
      <c r="E12" s="15"/>
      <c r="F12" s="15"/>
    </row>
    <row r="13" customFormat="false" ht="93" hidden="false" customHeight="true" outlineLevel="0" collapsed="false">
      <c r="A13" s="11" t="s">
        <v>155</v>
      </c>
      <c r="B13" s="15" t="s">
        <v>219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IF(Obj_CS20[[#This Row],[Descripción]]="","",ROW()-ROW(Obj_CS20[[#Headers],[Objetivo]]))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00">
      <formula>$B4="En progreso"</formula>
    </cfRule>
    <cfRule type="expression" priority="3" aboveAverage="0" equalAverage="0" bottom="0" percent="0" rank="0" text="" dxfId="301">
      <formula>$B4="En espera"</formula>
    </cfRule>
    <cfRule type="expression" priority="4" aboveAverage="0" equalAverage="0" bottom="0" percent="0" rank="0" text="" dxfId="302">
      <formula>$B4="Finalizada"</formula>
    </cfRule>
    <cfRule type="expression" priority="5" aboveAverage="0" equalAverage="0" bottom="0" percent="0" rank="0" text="" dxfId="303">
      <formula>$B4="Sin página"</formula>
    </cfRule>
  </conditionalFormatting>
  <conditionalFormatting sqref="B5">
    <cfRule type="expression" priority="6" aboveAverage="0" equalAverage="0" bottom="0" percent="0" rank="0" text="" dxfId="304">
      <formula>$B5="I"</formula>
    </cfRule>
    <cfRule type="expression" priority="7" aboveAverage="0" equalAverage="0" bottom="0" percent="0" rank="0" text="" dxfId="305">
      <formula>$B5="N"</formula>
    </cfRule>
    <cfRule type="expression" priority="8" aboveAverage="0" equalAverage="0" bottom="0" percent="0" rank="0" text="" dxfId="306">
      <formula>$B5="M"</formula>
    </cfRule>
  </conditionalFormatting>
  <conditionalFormatting sqref="B6">
    <cfRule type="expression" priority="9" aboveAverage="0" equalAverage="0" bottom="0" percent="0" rank="0" text="" dxfId="307">
      <formula>$B6="Bajo"</formula>
    </cfRule>
    <cfRule type="expression" priority="10" aboveAverage="0" equalAverage="0" bottom="0" percent="0" rank="0" text="" dxfId="308">
      <formula>$B6="Medio bajo"</formula>
    </cfRule>
    <cfRule type="expression" priority="11" aboveAverage="0" equalAverage="0" bottom="0" percent="0" rank="0" text="" dxfId="309">
      <formula>$B6="Medio"</formula>
    </cfRule>
    <cfRule type="expression" priority="12" aboveAverage="0" equalAverage="0" bottom="0" percent="0" rank="0" text="" dxfId="310">
      <formula>$B6="Alto"</formula>
    </cfRule>
    <cfRule type="expression" priority="13" aboveAverage="0" equalAverage="0" bottom="0" percent="0" rank="0" text="" dxfId="311">
      <formula>$B6="Muy alto"</formula>
    </cfRule>
  </conditionalFormatting>
  <conditionalFormatting sqref="C17:C316">
    <cfRule type="expression" priority="14" aboveAverage="0" equalAverage="0" bottom="0" percent="0" rank="0" text="" dxfId="312">
      <formula>$C17="Sí"</formula>
    </cfRule>
    <cfRule type="expression" priority="15" aboveAverage="0" equalAverage="0" bottom="0" percent="0" rank="0" text="" dxfId="31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CS-21 · REGISTRO DE DISPOSITIVOS Y PROVEEDOR PUSH</v>
      </c>
      <c r="B1" s="9"/>
      <c r="C1" s="9"/>
      <c r="D1" s="9"/>
      <c r="E1" s="9"/>
      <c r="F1" s="10" t="s">
        <v>147</v>
      </c>
    </row>
    <row r="2" customFormat="false" ht="18" hidden="false" customHeight="true" outlineLevel="0" collapsed="false">
      <c r="A2" s="11" t="s">
        <v>3</v>
      </c>
      <c r="B2" s="12" t="s">
        <v>58</v>
      </c>
      <c r="C2" s="12"/>
      <c r="D2" s="12"/>
      <c r="E2" s="12"/>
      <c r="F2" s="12"/>
    </row>
    <row r="3" customFormat="false" ht="15" hidden="false" customHeight="true" outlineLevel="0" collapsed="false">
      <c r="A3" s="11" t="s">
        <v>4</v>
      </c>
      <c r="B3" s="13" t="str">
        <f aca="false">IFERROR(INDEX(Historias[Título],MATCH($B$2,Historias[Ref],0))&amp;"","")</f>
        <v>REGISTRO DE DISPOSITIVOS Y PROVEEDOR PUSH</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149</v>
      </c>
      <c r="C9" s="15"/>
      <c r="D9" s="15"/>
      <c r="E9" s="15"/>
      <c r="F9" s="15"/>
    </row>
    <row r="10" customFormat="false" ht="18" hidden="false" customHeight="true" outlineLevel="0" collapsed="false">
      <c r="A10" s="11" t="s">
        <v>150</v>
      </c>
      <c r="B10" s="16" t="n">
        <v>46286</v>
      </c>
      <c r="C10" s="16"/>
      <c r="D10" s="16"/>
      <c r="E10" s="16"/>
      <c r="F10" s="16"/>
    </row>
    <row r="11" customFormat="false" ht="18" hidden="false" customHeight="true" outlineLevel="0" collapsed="false">
      <c r="A11" s="11" t="s">
        <v>151</v>
      </c>
      <c r="B11" s="15" t="s">
        <v>220</v>
      </c>
      <c r="C11" s="15"/>
      <c r="D11" s="15"/>
      <c r="E11" s="15"/>
      <c r="F11" s="15"/>
    </row>
    <row r="12" customFormat="false" ht="63" hidden="false" customHeight="true" outlineLevel="0" collapsed="false">
      <c r="A12" s="11" t="s">
        <v>153</v>
      </c>
      <c r="B12" s="15" t="s">
        <v>221</v>
      </c>
      <c r="C12" s="15"/>
      <c r="D12" s="15"/>
      <c r="E12" s="15"/>
      <c r="F12" s="15"/>
    </row>
    <row r="13" customFormat="false" ht="78" hidden="false" customHeight="true" outlineLevel="0" collapsed="false">
      <c r="A13" s="11" t="s">
        <v>155</v>
      </c>
      <c r="B13" s="15" t="s">
        <v>222</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IF(Obj_CS21[[#This Row],[Descripción]]="","",ROW()-ROW(Obj_CS21[[#Headers],[Objetivo]]))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14">
      <formula>$B4="En progreso"</formula>
    </cfRule>
    <cfRule type="expression" priority="3" aboveAverage="0" equalAverage="0" bottom="0" percent="0" rank="0" text="" dxfId="315">
      <formula>$B4="En espera"</formula>
    </cfRule>
    <cfRule type="expression" priority="4" aboveAverage="0" equalAverage="0" bottom="0" percent="0" rank="0" text="" dxfId="316">
      <formula>$B4="Finalizada"</formula>
    </cfRule>
    <cfRule type="expression" priority="5" aboveAverage="0" equalAverage="0" bottom="0" percent="0" rank="0" text="" dxfId="317">
      <formula>$B4="Sin página"</formula>
    </cfRule>
  </conditionalFormatting>
  <conditionalFormatting sqref="B5">
    <cfRule type="expression" priority="6" aboveAverage="0" equalAverage="0" bottom="0" percent="0" rank="0" text="" dxfId="318">
      <formula>$B5="I"</formula>
    </cfRule>
    <cfRule type="expression" priority="7" aboveAverage="0" equalAverage="0" bottom="0" percent="0" rank="0" text="" dxfId="319">
      <formula>$B5="N"</formula>
    </cfRule>
    <cfRule type="expression" priority="8" aboveAverage="0" equalAverage="0" bottom="0" percent="0" rank="0" text="" dxfId="320">
      <formula>$B5="M"</formula>
    </cfRule>
  </conditionalFormatting>
  <conditionalFormatting sqref="B6">
    <cfRule type="expression" priority="9" aboveAverage="0" equalAverage="0" bottom="0" percent="0" rank="0" text="" dxfId="321">
      <formula>$B6="Bajo"</formula>
    </cfRule>
    <cfRule type="expression" priority="10" aboveAverage="0" equalAverage="0" bottom="0" percent="0" rank="0" text="" dxfId="322">
      <formula>$B6="Medio bajo"</formula>
    </cfRule>
    <cfRule type="expression" priority="11" aboveAverage="0" equalAverage="0" bottom="0" percent="0" rank="0" text="" dxfId="323">
      <formula>$B6="Medio"</formula>
    </cfRule>
    <cfRule type="expression" priority="12" aboveAverage="0" equalAverage="0" bottom="0" percent="0" rank="0" text="" dxfId="324">
      <formula>$B6="Alto"</formula>
    </cfRule>
    <cfRule type="expression" priority="13" aboveAverage="0" equalAverage="0" bottom="0" percent="0" rank="0" text="" dxfId="325">
      <formula>$B6="Muy alto"</formula>
    </cfRule>
  </conditionalFormatting>
  <conditionalFormatting sqref="C17:C316">
    <cfRule type="expression" priority="14" aboveAverage="0" equalAverage="0" bottom="0" percent="0" rank="0" text="" dxfId="326">
      <formula>$C17="Sí"</formula>
    </cfRule>
    <cfRule type="expression" priority="15" aboveAverage="0" equalAverage="0" bottom="0" percent="0" rank="0" text="" dxfId="32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CS-22 · VISIBILIDAD EXPERIENCIAS</v>
      </c>
      <c r="B1" s="9"/>
      <c r="C1" s="9"/>
      <c r="D1" s="9"/>
      <c r="E1" s="9"/>
      <c r="F1" s="10" t="s">
        <v>147</v>
      </c>
    </row>
    <row r="2" customFormat="false" ht="18" hidden="false" customHeight="true" outlineLevel="0" collapsed="false">
      <c r="A2" s="11" t="s">
        <v>3</v>
      </c>
      <c r="B2" s="12" t="s">
        <v>60</v>
      </c>
      <c r="C2" s="12"/>
      <c r="D2" s="12"/>
      <c r="E2" s="12"/>
      <c r="F2" s="12"/>
    </row>
    <row r="3" customFormat="false" ht="15" hidden="false" customHeight="true" outlineLevel="0" collapsed="false">
      <c r="A3" s="11" t="s">
        <v>4</v>
      </c>
      <c r="B3" s="13" t="str">
        <f aca="false">IFERROR(INDEX(Historias[Título],MATCH($B$2,Historias[Ref],0))&amp;"","")</f>
        <v>VISIBILIDAD EXPERIENCIAS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7</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224</v>
      </c>
      <c r="C12" s="15"/>
      <c r="D12" s="15"/>
      <c r="E12" s="15"/>
      <c r="F12" s="15"/>
    </row>
    <row r="13" customFormat="false" ht="63" hidden="false" customHeight="true" outlineLevel="0" collapsed="false">
      <c r="A13" s="11" t="s">
        <v>155</v>
      </c>
      <c r="B13" s="15" t="s">
        <v>225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IF(Obj_CS22[[#This Row],[Descripción]]="","",ROW()-ROW(Obj_CS22[[#Headers],[Objetivo]]))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28">
      <formula>$B4="En progreso"</formula>
    </cfRule>
    <cfRule type="expression" priority="3" aboveAverage="0" equalAverage="0" bottom="0" percent="0" rank="0" text="" dxfId="329">
      <formula>$B4="En espera"</formula>
    </cfRule>
    <cfRule type="expression" priority="4" aboveAverage="0" equalAverage="0" bottom="0" percent="0" rank="0" text="" dxfId="330">
      <formula>$B4="Finalizada"</formula>
    </cfRule>
    <cfRule type="expression" priority="5" aboveAverage="0" equalAverage="0" bottom="0" percent="0" rank="0" text="" dxfId="331">
      <formula>$B4="Sin página"</formula>
    </cfRule>
  </conditionalFormatting>
  <conditionalFormatting sqref="B5">
    <cfRule type="expression" priority="6" aboveAverage="0" equalAverage="0" bottom="0" percent="0" rank="0" text="" dxfId="332">
      <formula>$B5="I"</formula>
    </cfRule>
    <cfRule type="expression" priority="7" aboveAverage="0" equalAverage="0" bottom="0" percent="0" rank="0" text="" dxfId="333">
      <formula>$B5="N"</formula>
    </cfRule>
    <cfRule type="expression" priority="8" aboveAverage="0" equalAverage="0" bottom="0" percent="0" rank="0" text="" dxfId="334">
      <formula>$B5="M"</formula>
    </cfRule>
  </conditionalFormatting>
  <conditionalFormatting sqref="B6">
    <cfRule type="expression" priority="9" aboveAverage="0" equalAverage="0" bottom="0" percent="0" rank="0" text="" dxfId="335">
      <formula>$B6="Bajo"</formula>
    </cfRule>
    <cfRule type="expression" priority="10" aboveAverage="0" equalAverage="0" bottom="0" percent="0" rank="0" text="" dxfId="336">
      <formula>$B6="Medio bajo"</formula>
    </cfRule>
    <cfRule type="expression" priority="11" aboveAverage="0" equalAverage="0" bottom="0" percent="0" rank="0" text="" dxfId="337">
      <formula>$B6="Medio"</formula>
    </cfRule>
    <cfRule type="expression" priority="12" aboveAverage="0" equalAverage="0" bottom="0" percent="0" rank="0" text="" dxfId="338">
      <formula>$B6="Alto"</formula>
    </cfRule>
    <cfRule type="expression" priority="13" aboveAverage="0" equalAverage="0" bottom="0" percent="0" rank="0" text="" dxfId="339">
      <formula>$B6="Muy alto"</formula>
    </cfRule>
  </conditionalFormatting>
  <conditionalFormatting sqref="C17:C316">
    <cfRule type="expression" priority="14" aboveAverage="0" equalAverage="0" bottom="0" percent="0" rank="0" text="" dxfId="340">
      <formula>$C17="Sí"</formula>
    </cfRule>
    <cfRule type="expression" priority="15" aboveAverage="0" equalAverage="0" bottom="0" percent="0" rank="0" text="" dxfId="34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CS-23 · PESTAÑA DE BÚSQUEDA</v>
      </c>
      <c r="B1" s="9"/>
      <c r="C1" s="9"/>
      <c r="D1" s="9"/>
      <c r="E1" s="9"/>
      <c r="F1" s="10" t="s">
        <v>147</v>
      </c>
    </row>
    <row r="2" customFormat="false" ht="18" hidden="false" customHeight="true" outlineLevel="0" collapsed="false">
      <c r="A2" s="11" t="s">
        <v>3</v>
      </c>
      <c r="B2" s="12" t="s">
        <v>62</v>
      </c>
      <c r="C2" s="12"/>
      <c r="D2" s="12"/>
      <c r="E2" s="12"/>
      <c r="F2" s="12"/>
    </row>
    <row r="3" customFormat="false" ht="15" hidden="false" customHeight="true" outlineLevel="0" collapsed="false">
      <c r="A3" s="11" t="s">
        <v>4</v>
      </c>
      <c r="B3" s="13" t="str">
        <f aca="false">IFERROR(INDEX(Historias[Título],MATCH($B$2,Historias[Ref],0))&amp;"","")</f>
        <v>PESTAÑA DE BÚSQUEDA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226</v>
      </c>
      <c r="C12" s="15"/>
      <c r="D12" s="15"/>
      <c r="E12" s="15"/>
      <c r="F12" s="15"/>
    </row>
    <row r="13" customFormat="false" ht="45" hidden="false" customHeight="true" outlineLevel="0" collapsed="false">
      <c r="A13" s="11" t="s">
        <v>155</v>
      </c>
      <c r="B13" s="15" t="s">
        <v>227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IF(Obj_CS23[[#This Row],[Descripción]]="","",ROW()-ROW(Obj_CS23[[#Headers],[Objetivo]]))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42">
      <formula>$B4="En progreso"</formula>
    </cfRule>
    <cfRule type="expression" priority="3" aboveAverage="0" equalAverage="0" bottom="0" percent="0" rank="0" text="" dxfId="343">
      <formula>$B4="En espera"</formula>
    </cfRule>
    <cfRule type="expression" priority="4" aboveAverage="0" equalAverage="0" bottom="0" percent="0" rank="0" text="" dxfId="344">
      <formula>$B4="Finalizada"</formula>
    </cfRule>
    <cfRule type="expression" priority="5" aboveAverage="0" equalAverage="0" bottom="0" percent="0" rank="0" text="" dxfId="345">
      <formula>$B4="Sin página"</formula>
    </cfRule>
  </conditionalFormatting>
  <conditionalFormatting sqref="B5">
    <cfRule type="expression" priority="6" aboveAverage="0" equalAverage="0" bottom="0" percent="0" rank="0" text="" dxfId="346">
      <formula>$B5="I"</formula>
    </cfRule>
    <cfRule type="expression" priority="7" aboveAverage="0" equalAverage="0" bottom="0" percent="0" rank="0" text="" dxfId="347">
      <formula>$B5="N"</formula>
    </cfRule>
    <cfRule type="expression" priority="8" aboveAverage="0" equalAverage="0" bottom="0" percent="0" rank="0" text="" dxfId="348">
      <formula>$B5="M"</formula>
    </cfRule>
  </conditionalFormatting>
  <conditionalFormatting sqref="B6">
    <cfRule type="expression" priority="9" aboveAverage="0" equalAverage="0" bottom="0" percent="0" rank="0" text="" dxfId="349">
      <formula>$B6="Bajo"</formula>
    </cfRule>
    <cfRule type="expression" priority="10" aboveAverage="0" equalAverage="0" bottom="0" percent="0" rank="0" text="" dxfId="350">
      <formula>$B6="Medio bajo"</formula>
    </cfRule>
    <cfRule type="expression" priority="11" aboveAverage="0" equalAverage="0" bottom="0" percent="0" rank="0" text="" dxfId="351">
      <formula>$B6="Medio"</formula>
    </cfRule>
    <cfRule type="expression" priority="12" aboveAverage="0" equalAverage="0" bottom="0" percent="0" rank="0" text="" dxfId="352">
      <formula>$B6="Alto"</formula>
    </cfRule>
    <cfRule type="expression" priority="13" aboveAverage="0" equalAverage="0" bottom="0" percent="0" rank="0" text="" dxfId="353">
      <formula>$B6="Muy alto"</formula>
    </cfRule>
  </conditionalFormatting>
  <conditionalFormatting sqref="C17:C316">
    <cfRule type="expression" priority="14" aboveAverage="0" equalAverage="0" bottom="0" percent="0" rank="0" text="" dxfId="354">
      <formula>$C17="Sí"</formula>
    </cfRule>
    <cfRule type="expression" priority="15" aboveAverage="0" equalAverage="0" bottom="0" percent="0" rank="0" text="" dxfId="35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CS-24 · RESULTADO BÚSQUEDA</v>
      </c>
      <c r="B1" s="9"/>
      <c r="C1" s="9"/>
      <c r="D1" s="9"/>
      <c r="E1" s="9"/>
      <c r="F1" s="10" t="s">
        <v>147</v>
      </c>
    </row>
    <row r="2" customFormat="false" ht="18" hidden="false" customHeight="true" outlineLevel="0" collapsed="false">
      <c r="A2" s="11" t="s">
        <v>3</v>
      </c>
      <c r="B2" s="12" t="s">
        <v>64</v>
      </c>
      <c r="C2" s="12"/>
      <c r="D2" s="12"/>
      <c r="E2" s="12"/>
      <c r="F2" s="12"/>
    </row>
    <row r="3" customFormat="false" ht="15" hidden="false" customHeight="true" outlineLevel="0" collapsed="false">
      <c r="A3" s="11" t="s">
        <v>4</v>
      </c>
      <c r="B3" s="13" t="str">
        <f aca="false">IFERROR(INDEX(Historias[Título],MATCH($B$2,Historias[Ref],0))&amp;"","")</f>
        <v>RESULTADO BÚSQUEDA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8</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228</v>
      </c>
      <c r="C12" s="15"/>
      <c r="D12" s="15"/>
      <c r="E12" s="15"/>
      <c r="F12" s="15"/>
    </row>
    <row r="13" customFormat="false" ht="63" hidden="false" customHeight="true" outlineLevel="0" collapsed="false">
      <c r="A13" s="11" t="s">
        <v>155</v>
      </c>
      <c r="B13" s="15" t="s">
        <v>229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IF(Obj_CS24[[#This Row],[Descripción]]="","",ROW()-ROW(Obj_CS24[[#Headers],[Objetivo]]))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56">
      <formula>$B4="En progreso"</formula>
    </cfRule>
    <cfRule type="expression" priority="3" aboveAverage="0" equalAverage="0" bottom="0" percent="0" rank="0" text="" dxfId="357">
      <formula>$B4="En espera"</formula>
    </cfRule>
    <cfRule type="expression" priority="4" aboveAverage="0" equalAverage="0" bottom="0" percent="0" rank="0" text="" dxfId="358">
      <formula>$B4="Finalizada"</formula>
    </cfRule>
    <cfRule type="expression" priority="5" aboveAverage="0" equalAverage="0" bottom="0" percent="0" rank="0" text="" dxfId="359">
      <formula>$B4="Sin página"</formula>
    </cfRule>
  </conditionalFormatting>
  <conditionalFormatting sqref="B5">
    <cfRule type="expression" priority="6" aboveAverage="0" equalAverage="0" bottom="0" percent="0" rank="0" text="" dxfId="360">
      <formula>$B5="I"</formula>
    </cfRule>
    <cfRule type="expression" priority="7" aboveAverage="0" equalAverage="0" bottom="0" percent="0" rank="0" text="" dxfId="361">
      <formula>$B5="N"</formula>
    </cfRule>
    <cfRule type="expression" priority="8" aboveAverage="0" equalAverage="0" bottom="0" percent="0" rank="0" text="" dxfId="362">
      <formula>$B5="M"</formula>
    </cfRule>
  </conditionalFormatting>
  <conditionalFormatting sqref="B6">
    <cfRule type="expression" priority="9" aboveAverage="0" equalAverage="0" bottom="0" percent="0" rank="0" text="" dxfId="363">
      <formula>$B6="Bajo"</formula>
    </cfRule>
    <cfRule type="expression" priority="10" aboveAverage="0" equalAverage="0" bottom="0" percent="0" rank="0" text="" dxfId="364">
      <formula>$B6="Medio bajo"</formula>
    </cfRule>
    <cfRule type="expression" priority="11" aboveAverage="0" equalAverage="0" bottom="0" percent="0" rank="0" text="" dxfId="365">
      <formula>$B6="Medio"</formula>
    </cfRule>
    <cfRule type="expression" priority="12" aboveAverage="0" equalAverage="0" bottom="0" percent="0" rank="0" text="" dxfId="366">
      <formula>$B6="Alto"</formula>
    </cfRule>
    <cfRule type="expression" priority="13" aboveAverage="0" equalAverage="0" bottom="0" percent="0" rank="0" text="" dxfId="367">
      <formula>$B6="Muy alto"</formula>
    </cfRule>
  </conditionalFormatting>
  <conditionalFormatting sqref="C17:C316">
    <cfRule type="expression" priority="14" aboveAverage="0" equalAverage="0" bottom="0" percent="0" rank="0" text="" dxfId="368">
      <formula>$C17="Sí"</formula>
    </cfRule>
    <cfRule type="expression" priority="15" aboveAverage="0" equalAverage="0" bottom="0" percent="0" rank="0" text="" dxfId="36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CS-25 · VISTA RESUMIDA DE EXPERIENCIA</v>
      </c>
      <c r="B1" s="9"/>
      <c r="C1" s="9"/>
      <c r="D1" s="9"/>
      <c r="E1" s="9"/>
      <c r="F1" s="10" t="s">
        <v>147</v>
      </c>
    </row>
    <row r="2" customFormat="false" ht="18" hidden="false" customHeight="true" outlineLevel="0" collapsed="false">
      <c r="A2" s="11" t="s">
        <v>3</v>
      </c>
      <c r="B2" s="12" t="s">
        <v>66</v>
      </c>
      <c r="C2" s="12"/>
      <c r="D2" s="12"/>
      <c r="E2" s="12"/>
      <c r="F2" s="12"/>
    </row>
    <row r="3" customFormat="false" ht="15" hidden="false" customHeight="true" outlineLevel="0" collapsed="false">
      <c r="A3" s="11" t="s">
        <v>4</v>
      </c>
      <c r="B3" s="13" t="str">
        <f aca="false">IFERROR(INDEX(Historias[Título],MATCH($B$2,Historias[Ref],0))&amp;"","")</f>
        <v>VISTA RESUMIDA DE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10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93" hidden="false" customHeight="true" outlineLevel="0" collapsed="false">
      <c r="A12" s="11" t="s">
        <v>153</v>
      </c>
      <c r="B12" s="15" t="s">
        <v>230</v>
      </c>
      <c r="C12" s="15"/>
      <c r="D12" s="15"/>
      <c r="E12" s="15"/>
      <c r="F12" s="15"/>
    </row>
    <row r="13" customFormat="false" ht="78" hidden="false" customHeight="true" outlineLevel="0" collapsed="false">
      <c r="A13" s="11" t="s">
        <v>155</v>
      </c>
      <c r="B13" s="15" t="s">
        <v>231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IF(Obj_CS25[[#This Row],[Descripción]]="","",ROW()-ROW(Obj_CS25[[#Headers],[Objetivo]]))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70">
      <formula>$B4="En progreso"</formula>
    </cfRule>
    <cfRule type="expression" priority="3" aboveAverage="0" equalAverage="0" bottom="0" percent="0" rank="0" text="" dxfId="371">
      <formula>$B4="En espera"</formula>
    </cfRule>
    <cfRule type="expression" priority="4" aboveAverage="0" equalAverage="0" bottom="0" percent="0" rank="0" text="" dxfId="372">
      <formula>$B4="Finalizada"</formula>
    </cfRule>
    <cfRule type="expression" priority="5" aboveAverage="0" equalAverage="0" bottom="0" percent="0" rank="0" text="" dxfId="373">
      <formula>$B4="Sin página"</formula>
    </cfRule>
  </conditionalFormatting>
  <conditionalFormatting sqref="B5">
    <cfRule type="expression" priority="6" aboveAverage="0" equalAverage="0" bottom="0" percent="0" rank="0" text="" dxfId="374">
      <formula>$B5="I"</formula>
    </cfRule>
    <cfRule type="expression" priority="7" aboveAverage="0" equalAverage="0" bottom="0" percent="0" rank="0" text="" dxfId="375">
      <formula>$B5="N"</formula>
    </cfRule>
    <cfRule type="expression" priority="8" aboveAverage="0" equalAverage="0" bottom="0" percent="0" rank="0" text="" dxfId="376">
      <formula>$B5="M"</formula>
    </cfRule>
  </conditionalFormatting>
  <conditionalFormatting sqref="B6">
    <cfRule type="expression" priority="9" aboveAverage="0" equalAverage="0" bottom="0" percent="0" rank="0" text="" dxfId="377">
      <formula>$B6="Bajo"</formula>
    </cfRule>
    <cfRule type="expression" priority="10" aboveAverage="0" equalAverage="0" bottom="0" percent="0" rank="0" text="" dxfId="378">
      <formula>$B6="Medio bajo"</formula>
    </cfRule>
    <cfRule type="expression" priority="11" aboveAverage="0" equalAverage="0" bottom="0" percent="0" rank="0" text="" dxfId="379">
      <formula>$B6="Medio"</formula>
    </cfRule>
    <cfRule type="expression" priority="12" aboveAverage="0" equalAverage="0" bottom="0" percent="0" rank="0" text="" dxfId="380">
      <formula>$B6="Alto"</formula>
    </cfRule>
    <cfRule type="expression" priority="13" aboveAverage="0" equalAverage="0" bottom="0" percent="0" rank="0" text="" dxfId="381">
      <formula>$B6="Muy alto"</formula>
    </cfRule>
  </conditionalFormatting>
  <conditionalFormatting sqref="C17:C316">
    <cfRule type="expression" priority="14" aboveAverage="0" equalAverage="0" bottom="0" percent="0" rank="0" text="" dxfId="382">
      <formula>$C17="Sí"</formula>
    </cfRule>
    <cfRule type="expression" priority="15" aboveAverage="0" equalAverage="0" bottom="0" percent="0" rank="0" text="" dxfId="38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CS-26 · BARRA DE BÚSQUEDA</v>
      </c>
      <c r="B1" s="9"/>
      <c r="C1" s="9"/>
      <c r="D1" s="9"/>
      <c r="E1" s="9"/>
      <c r="F1" s="10" t="s">
        <v>147</v>
      </c>
    </row>
    <row r="2" customFormat="false" ht="18" hidden="false" customHeight="true" outlineLevel="0" collapsed="false">
      <c r="A2" s="11" t="s">
        <v>3</v>
      </c>
      <c r="B2" s="12" t="s">
        <v>68</v>
      </c>
      <c r="C2" s="12"/>
      <c r="D2" s="12"/>
      <c r="E2" s="12"/>
      <c r="F2" s="12"/>
    </row>
    <row r="3" customFormat="false" ht="15" hidden="false" customHeight="true" outlineLevel="0" collapsed="false">
      <c r="A3" s="11" t="s">
        <v>4</v>
      </c>
      <c r="B3" s="13" t="str">
        <f aca="false">IFERROR(INDEX(Historias[Título],MATCH($B$2,Historias[Ref],0))&amp;"","")</f>
        <v>BARRA DE BÚSQUEDA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20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78" hidden="false" customHeight="true" outlineLevel="0" collapsed="false">
      <c r="A12" s="11" t="s">
        <v>153</v>
      </c>
      <c r="B12" s="15" t="s">
        <v>232</v>
      </c>
      <c r="C12" s="15"/>
      <c r="D12" s="15"/>
      <c r="E12" s="15"/>
      <c r="F12" s="15"/>
    </row>
    <row r="13" customFormat="false" ht="78" hidden="false" customHeight="true" outlineLevel="0" collapsed="false">
      <c r="A13" s="11" t="s">
        <v>155</v>
      </c>
      <c r="B13" s="15" t="s">
        <v>233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IF(Obj_CS26[[#This Row],[Descripción]]="","",ROW()-ROW(Obj_CS26[[#Headers],[Objetivo]]))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84">
      <formula>$B4="En progreso"</formula>
    </cfRule>
    <cfRule type="expression" priority="3" aboveAverage="0" equalAverage="0" bottom="0" percent="0" rank="0" text="" dxfId="385">
      <formula>$B4="En espera"</formula>
    </cfRule>
    <cfRule type="expression" priority="4" aboveAverage="0" equalAverage="0" bottom="0" percent="0" rank="0" text="" dxfId="386">
      <formula>$B4="Finalizada"</formula>
    </cfRule>
    <cfRule type="expression" priority="5" aboveAverage="0" equalAverage="0" bottom="0" percent="0" rank="0" text="" dxfId="387">
      <formula>$B4="Sin página"</formula>
    </cfRule>
  </conditionalFormatting>
  <conditionalFormatting sqref="B5">
    <cfRule type="expression" priority="6" aboveAverage="0" equalAverage="0" bottom="0" percent="0" rank="0" text="" dxfId="388">
      <formula>$B5="I"</formula>
    </cfRule>
    <cfRule type="expression" priority="7" aboveAverage="0" equalAverage="0" bottom="0" percent="0" rank="0" text="" dxfId="389">
      <formula>$B5="N"</formula>
    </cfRule>
    <cfRule type="expression" priority="8" aboveAverage="0" equalAverage="0" bottom="0" percent="0" rank="0" text="" dxfId="390">
      <formula>$B5="M"</formula>
    </cfRule>
  </conditionalFormatting>
  <conditionalFormatting sqref="B6">
    <cfRule type="expression" priority="9" aboveAverage="0" equalAverage="0" bottom="0" percent="0" rank="0" text="" dxfId="391">
      <formula>$B6="Bajo"</formula>
    </cfRule>
    <cfRule type="expression" priority="10" aboveAverage="0" equalAverage="0" bottom="0" percent="0" rank="0" text="" dxfId="392">
      <formula>$B6="Medio bajo"</formula>
    </cfRule>
    <cfRule type="expression" priority="11" aboveAverage="0" equalAverage="0" bottom="0" percent="0" rank="0" text="" dxfId="393">
      <formula>$B6="Medio"</formula>
    </cfRule>
    <cfRule type="expression" priority="12" aboveAverage="0" equalAverage="0" bottom="0" percent="0" rank="0" text="" dxfId="394">
      <formula>$B6="Alto"</formula>
    </cfRule>
    <cfRule type="expression" priority="13" aboveAverage="0" equalAverage="0" bottom="0" percent="0" rank="0" text="" dxfId="395">
      <formula>$B6="Muy alto"</formula>
    </cfRule>
  </conditionalFormatting>
  <conditionalFormatting sqref="C17:C316">
    <cfRule type="expression" priority="14" aboveAverage="0" equalAverage="0" bottom="0" percent="0" rank="0" text="" dxfId="396">
      <formula>$C17="Sí"</formula>
    </cfRule>
    <cfRule type="expression" priority="15" aboveAverage="0" equalAverage="0" bottom="0" percent="0" rank="0" text="" dxfId="39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CS-27 · VISIBILIDAD INICIO</v>
      </c>
      <c r="B1" s="9"/>
      <c r="C1" s="9"/>
      <c r="D1" s="9"/>
      <c r="E1" s="9"/>
      <c r="F1" s="10" t="s">
        <v>147</v>
      </c>
    </row>
    <row r="2" customFormat="false" ht="18" hidden="false" customHeight="true" outlineLevel="0" collapsed="false">
      <c r="A2" s="11" t="s">
        <v>3</v>
      </c>
      <c r="B2" s="12" t="s">
        <v>70</v>
      </c>
      <c r="C2" s="12"/>
      <c r="D2" s="12"/>
      <c r="E2" s="12"/>
      <c r="F2" s="12"/>
    </row>
    <row r="3" customFormat="false" ht="15" hidden="false" customHeight="true" outlineLevel="0" collapsed="false">
      <c r="A3" s="11" t="s">
        <v>4</v>
      </c>
      <c r="B3" s="13" t="str">
        <f aca="false">IFERROR(INDEX(Historias[Título],MATCH($B$2,Historias[Ref],0))&amp;"","")</f>
        <v>VISIBILIDAD INICIO</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13</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234</v>
      </c>
      <c r="C12" s="15"/>
      <c r="D12" s="15"/>
      <c r="E12" s="15"/>
      <c r="F12" s="15"/>
    </row>
    <row r="13" customFormat="false" ht="93" hidden="false" customHeight="true" outlineLevel="0" collapsed="false">
      <c r="A13" s="11" t="s">
        <v>155</v>
      </c>
      <c r="B13" s="15" t="s">
        <v>235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IF(Obj_CS27[[#This Row],[Descripción]]="","",ROW()-ROW(Obj_CS27[[#Headers],[Objetivo]]))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398">
      <formula>$B4="En progreso"</formula>
    </cfRule>
    <cfRule type="expression" priority="3" aboveAverage="0" equalAverage="0" bottom="0" percent="0" rank="0" text="" dxfId="399">
      <formula>$B4="En espera"</formula>
    </cfRule>
    <cfRule type="expression" priority="4" aboveAverage="0" equalAverage="0" bottom="0" percent="0" rank="0" text="" dxfId="400">
      <formula>$B4="Finalizada"</formula>
    </cfRule>
    <cfRule type="expression" priority="5" aboveAverage="0" equalAverage="0" bottom="0" percent="0" rank="0" text="" dxfId="401">
      <formula>$B4="Sin página"</formula>
    </cfRule>
  </conditionalFormatting>
  <conditionalFormatting sqref="B5">
    <cfRule type="expression" priority="6" aboveAverage="0" equalAverage="0" bottom="0" percent="0" rank="0" text="" dxfId="402">
      <formula>$B5="I"</formula>
    </cfRule>
    <cfRule type="expression" priority="7" aboveAverage="0" equalAverage="0" bottom="0" percent="0" rank="0" text="" dxfId="403">
      <formula>$B5="N"</formula>
    </cfRule>
    <cfRule type="expression" priority="8" aboveAverage="0" equalAverage="0" bottom="0" percent="0" rank="0" text="" dxfId="404">
      <formula>$B5="M"</formula>
    </cfRule>
  </conditionalFormatting>
  <conditionalFormatting sqref="B6">
    <cfRule type="expression" priority="9" aboveAverage="0" equalAverage="0" bottom="0" percent="0" rank="0" text="" dxfId="405">
      <formula>$B6="Bajo"</formula>
    </cfRule>
    <cfRule type="expression" priority="10" aboveAverage="0" equalAverage="0" bottom="0" percent="0" rank="0" text="" dxfId="406">
      <formula>$B6="Medio bajo"</formula>
    </cfRule>
    <cfRule type="expression" priority="11" aboveAverage="0" equalAverage="0" bottom="0" percent="0" rank="0" text="" dxfId="407">
      <formula>$B6="Medio"</formula>
    </cfRule>
    <cfRule type="expression" priority="12" aboveAverage="0" equalAverage="0" bottom="0" percent="0" rank="0" text="" dxfId="408">
      <formula>$B6="Alto"</formula>
    </cfRule>
    <cfRule type="expression" priority="13" aboveAverage="0" equalAverage="0" bottom="0" percent="0" rank="0" text="" dxfId="409">
      <formula>$B6="Muy alto"</formula>
    </cfRule>
  </conditionalFormatting>
  <conditionalFormatting sqref="C17:C316">
    <cfRule type="expression" priority="14" aboveAverage="0" equalAverage="0" bottom="0" percent="0" rank="0" text="" dxfId="410">
      <formula>$C17="Sí"</formula>
    </cfRule>
    <cfRule type="expression" priority="15" aboveAverage="0" equalAverage="0" bottom="0" percent="0" rank="0" text="" dxfId="41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CS-28 · ORDENACIÓN RESULTADOS</v>
      </c>
      <c r="B1" s="9"/>
      <c r="C1" s="9"/>
      <c r="D1" s="9"/>
      <c r="E1" s="9"/>
      <c r="F1" s="10" t="s">
        <v>147</v>
      </c>
    </row>
    <row r="2" customFormat="false" ht="18" hidden="false" customHeight="true" outlineLevel="0" collapsed="false">
      <c r="A2" s="11" t="s">
        <v>3</v>
      </c>
      <c r="B2" s="12" t="s">
        <v>72</v>
      </c>
      <c r="C2" s="12"/>
      <c r="D2" s="12"/>
      <c r="E2" s="12"/>
      <c r="F2" s="12"/>
    </row>
    <row r="3" customFormat="false" ht="15" hidden="false" customHeight="true" outlineLevel="0" collapsed="false">
      <c r="A3" s="11" t="s">
        <v>4</v>
      </c>
      <c r="B3" s="13" t="str">
        <f aca="false">IFERROR(INDEX(Historias[Título],MATCH($B$2,Historias[Ref],0))&amp;"","")</f>
        <v>ORDENACIÓN RESULTADOS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6</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236</v>
      </c>
      <c r="C12" s="15"/>
      <c r="D12" s="15"/>
      <c r="E12" s="15"/>
      <c r="F12" s="15"/>
    </row>
    <row r="13" customFormat="false" ht="93" hidden="false" customHeight="true" outlineLevel="0" collapsed="false">
      <c r="A13" s="11" t="s">
        <v>155</v>
      </c>
      <c r="B13" s="15" t="s">
        <v>237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IF(Obj_CS28[[#This Row],[Descripción]]="","",ROW()-ROW(Obj_CS28[[#Headers],[Objetivo]]))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12">
      <formula>$B4="En progreso"</formula>
    </cfRule>
    <cfRule type="expression" priority="3" aboveAverage="0" equalAverage="0" bottom="0" percent="0" rank="0" text="" dxfId="413">
      <formula>$B4="En espera"</formula>
    </cfRule>
    <cfRule type="expression" priority="4" aboveAverage="0" equalAverage="0" bottom="0" percent="0" rank="0" text="" dxfId="414">
      <formula>$B4="Finalizada"</formula>
    </cfRule>
    <cfRule type="expression" priority="5" aboveAverage="0" equalAverage="0" bottom="0" percent="0" rank="0" text="" dxfId="415">
      <formula>$B4="Sin página"</formula>
    </cfRule>
  </conditionalFormatting>
  <conditionalFormatting sqref="B5">
    <cfRule type="expression" priority="6" aboveAverage="0" equalAverage="0" bottom="0" percent="0" rank="0" text="" dxfId="416">
      <formula>$B5="I"</formula>
    </cfRule>
    <cfRule type="expression" priority="7" aboveAverage="0" equalAverage="0" bottom="0" percent="0" rank="0" text="" dxfId="417">
      <formula>$B5="N"</formula>
    </cfRule>
    <cfRule type="expression" priority="8" aboveAverage="0" equalAverage="0" bottom="0" percent="0" rank="0" text="" dxfId="418">
      <formula>$B5="M"</formula>
    </cfRule>
  </conditionalFormatting>
  <conditionalFormatting sqref="B6">
    <cfRule type="expression" priority="9" aboveAverage="0" equalAverage="0" bottom="0" percent="0" rank="0" text="" dxfId="419">
      <formula>$B6="Bajo"</formula>
    </cfRule>
    <cfRule type="expression" priority="10" aboveAverage="0" equalAverage="0" bottom="0" percent="0" rank="0" text="" dxfId="420">
      <formula>$B6="Medio bajo"</formula>
    </cfRule>
    <cfRule type="expression" priority="11" aboveAverage="0" equalAverage="0" bottom="0" percent="0" rank="0" text="" dxfId="421">
      <formula>$B6="Medio"</formula>
    </cfRule>
    <cfRule type="expression" priority="12" aboveAverage="0" equalAverage="0" bottom="0" percent="0" rank="0" text="" dxfId="422">
      <formula>$B6="Alto"</formula>
    </cfRule>
    <cfRule type="expression" priority="13" aboveAverage="0" equalAverage="0" bottom="0" percent="0" rank="0" text="" dxfId="423">
      <formula>$B6="Muy alto"</formula>
    </cfRule>
  </conditionalFormatting>
  <conditionalFormatting sqref="C17:C316">
    <cfRule type="expression" priority="14" aboveAverage="0" equalAverage="0" bottom="0" percent="0" rank="0" text="" dxfId="424">
      <formula>$C17="Sí"</formula>
    </cfRule>
    <cfRule type="expression" priority="15" aboveAverage="0" equalAverage="0" bottom="0" percent="0" rank="0" text="" dxfId="42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CS-29 · RECUPERACIÓN DE BORRADORES</v>
      </c>
      <c r="B1" s="9"/>
      <c r="C1" s="9"/>
      <c r="D1" s="9"/>
      <c r="E1" s="9"/>
      <c r="F1" s="10" t="s">
        <v>147</v>
      </c>
    </row>
    <row r="2" customFormat="false" ht="18" hidden="false" customHeight="true" outlineLevel="0" collapsed="false">
      <c r="A2" s="11" t="s">
        <v>3</v>
      </c>
      <c r="B2" s="12" t="s">
        <v>74</v>
      </c>
      <c r="C2" s="12"/>
      <c r="D2" s="12"/>
      <c r="E2" s="12"/>
      <c r="F2" s="12"/>
    </row>
    <row r="3" customFormat="false" ht="15" hidden="false" customHeight="true" outlineLevel="0" collapsed="false">
      <c r="A3" s="11" t="s">
        <v>4</v>
      </c>
      <c r="B3" s="13" t="str">
        <f aca="false">IFERROR(INDEX(Historias[Título],MATCH($B$2,Historias[Ref],0))&amp;"","")</f>
        <v>RECUPERACIÓN DE BORRADORES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238</v>
      </c>
      <c r="C12" s="15"/>
      <c r="D12" s="15"/>
      <c r="E12" s="15"/>
      <c r="F12" s="15"/>
    </row>
    <row r="13" customFormat="false" ht="63" hidden="false" customHeight="true" outlineLevel="0" collapsed="false">
      <c r="A13" s="11" t="s">
        <v>155</v>
      </c>
      <c r="B13" s="15" t="s">
        <v>239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IF(Obj_CS29[[#This Row],[Descripción]]="","",ROW()-ROW(Obj_CS29[[#Headers],[Objetivo]]))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26">
      <formula>$B4="En progreso"</formula>
    </cfRule>
    <cfRule type="expression" priority="3" aboveAverage="0" equalAverage="0" bottom="0" percent="0" rank="0" text="" dxfId="427">
      <formula>$B4="En espera"</formula>
    </cfRule>
    <cfRule type="expression" priority="4" aboveAverage="0" equalAverage="0" bottom="0" percent="0" rank="0" text="" dxfId="428">
      <formula>$B4="Finalizada"</formula>
    </cfRule>
    <cfRule type="expression" priority="5" aboveAverage="0" equalAverage="0" bottom="0" percent="0" rank="0" text="" dxfId="429">
      <formula>$B4="Sin página"</formula>
    </cfRule>
  </conditionalFormatting>
  <conditionalFormatting sqref="B5">
    <cfRule type="expression" priority="6" aboveAverage="0" equalAverage="0" bottom="0" percent="0" rank="0" text="" dxfId="430">
      <formula>$B5="I"</formula>
    </cfRule>
    <cfRule type="expression" priority="7" aboveAverage="0" equalAverage="0" bottom="0" percent="0" rank="0" text="" dxfId="431">
      <formula>$B5="N"</formula>
    </cfRule>
    <cfRule type="expression" priority="8" aboveAverage="0" equalAverage="0" bottom="0" percent="0" rank="0" text="" dxfId="432">
      <formula>$B5="M"</formula>
    </cfRule>
  </conditionalFormatting>
  <conditionalFormatting sqref="B6">
    <cfRule type="expression" priority="9" aboveAverage="0" equalAverage="0" bottom="0" percent="0" rank="0" text="" dxfId="433">
      <formula>$B6="Bajo"</formula>
    </cfRule>
    <cfRule type="expression" priority="10" aboveAverage="0" equalAverage="0" bottom="0" percent="0" rank="0" text="" dxfId="434">
      <formula>$B6="Medio bajo"</formula>
    </cfRule>
    <cfRule type="expression" priority="11" aboveAverage="0" equalAverage="0" bottom="0" percent="0" rank="0" text="" dxfId="435">
      <formula>$B6="Medio"</formula>
    </cfRule>
    <cfRule type="expression" priority="12" aboveAverage="0" equalAverage="0" bottom="0" percent="0" rank="0" text="" dxfId="436">
      <formula>$B6="Alto"</formula>
    </cfRule>
    <cfRule type="expression" priority="13" aboveAverage="0" equalAverage="0" bottom="0" percent="0" rank="0" text="" dxfId="437">
      <formula>$B6="Muy alto"</formula>
    </cfRule>
  </conditionalFormatting>
  <conditionalFormatting sqref="C17:C316">
    <cfRule type="expression" priority="14" aboveAverage="0" equalAverage="0" bottom="0" percent="0" rank="0" text="" dxfId="438">
      <formula>$C17="Sí"</formula>
    </cfRule>
    <cfRule type="expression" priority="15" aboveAverage="0" equalAverage="0" bottom="0" percent="0" rank="0" text="" dxfId="43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CS-30 · CONTROL DE ACCESO</v>
      </c>
      <c r="B1" s="9"/>
      <c r="C1" s="9"/>
      <c r="D1" s="9"/>
      <c r="E1" s="9"/>
      <c r="F1" s="10" t="s">
        <v>147</v>
      </c>
    </row>
    <row r="2" customFormat="false" ht="18" hidden="false" customHeight="true" outlineLevel="0" collapsed="false">
      <c r="A2" s="11" t="s">
        <v>3</v>
      </c>
      <c r="B2" s="12" t="s">
        <v>76</v>
      </c>
      <c r="C2" s="12"/>
      <c r="D2" s="12"/>
      <c r="E2" s="12"/>
      <c r="F2" s="12"/>
    </row>
    <row r="3" customFormat="false" ht="15" hidden="false" customHeight="true" outlineLevel="0" collapsed="false">
      <c r="A3" s="11" t="s">
        <v>4</v>
      </c>
      <c r="B3" s="13" t="str">
        <f aca="false">IFERROR(INDEX(Historias[Título],MATCH($B$2,Historias[Ref],0))&amp;"","")</f>
        <v>CONTROL DE ACCESO</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7</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240</v>
      </c>
      <c r="C12" s="15"/>
      <c r="D12" s="15"/>
      <c r="E12" s="15"/>
      <c r="F12" s="15"/>
    </row>
    <row r="13" customFormat="false" ht="63" hidden="false" customHeight="true" outlineLevel="0" collapsed="false">
      <c r="A13" s="11" t="s">
        <v>155</v>
      </c>
      <c r="B13" s="15" t="s">
        <v>241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IF(Obj_CS30[[#This Row],[Descripción]]="","",ROW()-ROW(Obj_CS30[[#Headers],[Objetivo]]))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40">
      <formula>$B4="En progreso"</formula>
    </cfRule>
    <cfRule type="expression" priority="3" aboveAverage="0" equalAverage="0" bottom="0" percent="0" rank="0" text="" dxfId="441">
      <formula>$B4="En espera"</formula>
    </cfRule>
    <cfRule type="expression" priority="4" aboveAverage="0" equalAverage="0" bottom="0" percent="0" rank="0" text="" dxfId="442">
      <formula>$B4="Finalizada"</formula>
    </cfRule>
    <cfRule type="expression" priority="5" aboveAverage="0" equalAverage="0" bottom="0" percent="0" rank="0" text="" dxfId="443">
      <formula>$B4="Sin página"</formula>
    </cfRule>
  </conditionalFormatting>
  <conditionalFormatting sqref="B5">
    <cfRule type="expression" priority="6" aboveAverage="0" equalAverage="0" bottom="0" percent="0" rank="0" text="" dxfId="444">
      <formula>$B5="I"</formula>
    </cfRule>
    <cfRule type="expression" priority="7" aboveAverage="0" equalAverage="0" bottom="0" percent="0" rank="0" text="" dxfId="445">
      <formula>$B5="N"</formula>
    </cfRule>
    <cfRule type="expression" priority="8" aboveAverage="0" equalAverage="0" bottom="0" percent="0" rank="0" text="" dxfId="446">
      <formula>$B5="M"</formula>
    </cfRule>
  </conditionalFormatting>
  <conditionalFormatting sqref="B6">
    <cfRule type="expression" priority="9" aboveAverage="0" equalAverage="0" bottom="0" percent="0" rank="0" text="" dxfId="447">
      <formula>$B6="Bajo"</formula>
    </cfRule>
    <cfRule type="expression" priority="10" aboveAverage="0" equalAverage="0" bottom="0" percent="0" rank="0" text="" dxfId="448">
      <formula>$B6="Medio bajo"</formula>
    </cfRule>
    <cfRule type="expression" priority="11" aboveAverage="0" equalAverage="0" bottom="0" percent="0" rank="0" text="" dxfId="449">
      <formula>$B6="Medio"</formula>
    </cfRule>
    <cfRule type="expression" priority="12" aboveAverage="0" equalAverage="0" bottom="0" percent="0" rank="0" text="" dxfId="450">
      <formula>$B6="Alto"</formula>
    </cfRule>
    <cfRule type="expression" priority="13" aboveAverage="0" equalAverage="0" bottom="0" percent="0" rank="0" text="" dxfId="451">
      <formula>$B6="Muy alto"</formula>
    </cfRule>
  </conditionalFormatting>
  <conditionalFormatting sqref="C17:C316">
    <cfRule type="expression" priority="14" aboveAverage="0" equalAverage="0" bottom="0" percent="0" rank="0" text="" dxfId="452">
      <formula>$C17="Sí"</formula>
    </cfRule>
    <cfRule type="expression" priority="15" aboveAverage="0" equalAverage="0" bottom="0" percent="0" rank="0" text="" dxfId="45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CS-31 · FILTRO “EXPERIENCIAS DE AMIGOS”</v>
      </c>
      <c r="B1" s="9"/>
      <c r="C1" s="9"/>
      <c r="D1" s="9"/>
      <c r="E1" s="9"/>
      <c r="F1" s="10" t="s">
        <v>147</v>
      </c>
    </row>
    <row r="2" customFormat="false" ht="18" hidden="false" customHeight="true" outlineLevel="0" collapsed="false">
      <c r="A2" s="11" t="s">
        <v>3</v>
      </c>
      <c r="B2" s="12" t="s">
        <v>78</v>
      </c>
      <c r="C2" s="12"/>
      <c r="D2" s="12"/>
      <c r="E2" s="12"/>
      <c r="F2" s="12"/>
    </row>
    <row r="3" customFormat="false" ht="15" hidden="false" customHeight="true" outlineLevel="0" collapsed="false">
      <c r="A3" s="11" t="s">
        <v>4</v>
      </c>
      <c r="B3" s="13" t="str">
        <f aca="false">IFERROR(INDEX(Historias[Título],MATCH($B$2,Historias[Ref],0))&amp;"","")</f>
        <v>FILTRO “EXPERIENCIAS DE AMIGOS”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242</v>
      </c>
      <c r="C12" s="15"/>
      <c r="D12" s="15"/>
      <c r="E12" s="15"/>
      <c r="F12" s="15"/>
    </row>
    <row r="13" customFormat="false" ht="48" hidden="false" customHeight="true" outlineLevel="0" collapsed="false">
      <c r="A13" s="11" t="s">
        <v>155</v>
      </c>
      <c r="B13" s="15" t="s">
        <v>243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IF(Obj_CS31[[#This Row],[Descripción]]="","",ROW()-ROW(Obj_CS31[[#Headers],[Objetivo]]))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54">
      <formula>$B4="En progreso"</formula>
    </cfRule>
    <cfRule type="expression" priority="3" aboveAverage="0" equalAverage="0" bottom="0" percent="0" rank="0" text="" dxfId="455">
      <formula>$B4="En espera"</formula>
    </cfRule>
    <cfRule type="expression" priority="4" aboveAverage="0" equalAverage="0" bottom="0" percent="0" rank="0" text="" dxfId="456">
      <formula>$B4="Finalizada"</formula>
    </cfRule>
    <cfRule type="expression" priority="5" aboveAverage="0" equalAverage="0" bottom="0" percent="0" rank="0" text="" dxfId="457">
      <formula>$B4="Sin página"</formula>
    </cfRule>
  </conditionalFormatting>
  <conditionalFormatting sqref="B5">
    <cfRule type="expression" priority="6" aboveAverage="0" equalAverage="0" bottom="0" percent="0" rank="0" text="" dxfId="458">
      <formula>$B5="I"</formula>
    </cfRule>
    <cfRule type="expression" priority="7" aboveAverage="0" equalAverage="0" bottom="0" percent="0" rank="0" text="" dxfId="459">
      <formula>$B5="N"</formula>
    </cfRule>
    <cfRule type="expression" priority="8" aboveAverage="0" equalAverage="0" bottom="0" percent="0" rank="0" text="" dxfId="460">
      <formula>$B5="M"</formula>
    </cfRule>
  </conditionalFormatting>
  <conditionalFormatting sqref="B6">
    <cfRule type="expression" priority="9" aboveAverage="0" equalAverage="0" bottom="0" percent="0" rank="0" text="" dxfId="461">
      <formula>$B6="Bajo"</formula>
    </cfRule>
    <cfRule type="expression" priority="10" aboveAverage="0" equalAverage="0" bottom="0" percent="0" rank="0" text="" dxfId="462">
      <formula>$B6="Medio bajo"</formula>
    </cfRule>
    <cfRule type="expression" priority="11" aboveAverage="0" equalAverage="0" bottom="0" percent="0" rank="0" text="" dxfId="463">
      <formula>$B6="Medio"</formula>
    </cfRule>
    <cfRule type="expression" priority="12" aboveAverage="0" equalAverage="0" bottom="0" percent="0" rank="0" text="" dxfId="464">
      <formula>$B6="Alto"</formula>
    </cfRule>
    <cfRule type="expression" priority="13" aboveAverage="0" equalAverage="0" bottom="0" percent="0" rank="0" text="" dxfId="465">
      <formula>$B6="Muy alto"</formula>
    </cfRule>
  </conditionalFormatting>
  <conditionalFormatting sqref="C17:C316">
    <cfRule type="expression" priority="14" aboveAverage="0" equalAverage="0" bottom="0" percent="0" rank="0" text="" dxfId="466">
      <formula>$C17="Sí"</formula>
    </cfRule>
    <cfRule type="expression" priority="15" aboveAverage="0" equalAverage="0" bottom="0" percent="0" rank="0" text="" dxfId="46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CS-32 · VISTA DETALLADA DE EXPERIENCIA</v>
      </c>
      <c r="B1" s="9"/>
      <c r="C1" s="9"/>
      <c r="D1" s="9"/>
      <c r="E1" s="9"/>
      <c r="F1" s="10" t="s">
        <v>147</v>
      </c>
    </row>
    <row r="2" customFormat="false" ht="18" hidden="false" customHeight="true" outlineLevel="0" collapsed="false">
      <c r="A2" s="11" t="s">
        <v>3</v>
      </c>
      <c r="B2" s="12" t="s">
        <v>80</v>
      </c>
      <c r="C2" s="12"/>
      <c r="D2" s="12"/>
      <c r="E2" s="12"/>
      <c r="F2" s="12"/>
    </row>
    <row r="3" customFormat="false" ht="15" hidden="false" customHeight="true" outlineLevel="0" collapsed="false">
      <c r="A3" s="11" t="s">
        <v>4</v>
      </c>
      <c r="B3" s="13" t="str">
        <f aca="false">IFERROR(INDEX(Historias[Título],MATCH($B$2,Historias[Ref],0))&amp;"","")</f>
        <v>VISTA DETALLADA DE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8</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244</v>
      </c>
      <c r="C12" s="15"/>
      <c r="D12" s="15"/>
      <c r="E12" s="15"/>
      <c r="F12" s="15"/>
    </row>
    <row r="13" customFormat="false" ht="48" hidden="false" customHeight="true" outlineLevel="0" collapsed="false">
      <c r="A13" s="11" t="s">
        <v>155</v>
      </c>
      <c r="B13" s="15" t="s">
        <v>245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IF(Obj_CS32[[#This Row],[Descripción]]="","",ROW()-ROW(Obj_CS32[[#Headers],[Objetivo]]))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68">
      <formula>$B4="En progreso"</formula>
    </cfRule>
    <cfRule type="expression" priority="3" aboveAverage="0" equalAverage="0" bottom="0" percent="0" rank="0" text="" dxfId="469">
      <formula>$B4="En espera"</formula>
    </cfRule>
    <cfRule type="expression" priority="4" aboveAverage="0" equalAverage="0" bottom="0" percent="0" rank="0" text="" dxfId="470">
      <formula>$B4="Finalizada"</formula>
    </cfRule>
    <cfRule type="expression" priority="5" aboveAverage="0" equalAverage="0" bottom="0" percent="0" rank="0" text="" dxfId="471">
      <formula>$B4="Sin página"</formula>
    </cfRule>
  </conditionalFormatting>
  <conditionalFormatting sqref="B5">
    <cfRule type="expression" priority="6" aboveAverage="0" equalAverage="0" bottom="0" percent="0" rank="0" text="" dxfId="472">
      <formula>$B5="I"</formula>
    </cfRule>
    <cfRule type="expression" priority="7" aboveAverage="0" equalAverage="0" bottom="0" percent="0" rank="0" text="" dxfId="473">
      <formula>$B5="N"</formula>
    </cfRule>
    <cfRule type="expression" priority="8" aboveAverage="0" equalAverage="0" bottom="0" percent="0" rank="0" text="" dxfId="474">
      <formula>$B5="M"</formula>
    </cfRule>
  </conditionalFormatting>
  <conditionalFormatting sqref="B6">
    <cfRule type="expression" priority="9" aboveAverage="0" equalAverage="0" bottom="0" percent="0" rank="0" text="" dxfId="475">
      <formula>$B6="Bajo"</formula>
    </cfRule>
    <cfRule type="expression" priority="10" aboveAverage="0" equalAverage="0" bottom="0" percent="0" rank="0" text="" dxfId="476">
      <formula>$B6="Medio bajo"</formula>
    </cfRule>
    <cfRule type="expression" priority="11" aboveAverage="0" equalAverage="0" bottom="0" percent="0" rank="0" text="" dxfId="477">
      <formula>$B6="Medio"</formula>
    </cfRule>
    <cfRule type="expression" priority="12" aboveAverage="0" equalAverage="0" bottom="0" percent="0" rank="0" text="" dxfId="478">
      <formula>$B6="Alto"</formula>
    </cfRule>
    <cfRule type="expression" priority="13" aboveAverage="0" equalAverage="0" bottom="0" percent="0" rank="0" text="" dxfId="479">
      <formula>$B6="Muy alto"</formula>
    </cfRule>
  </conditionalFormatting>
  <conditionalFormatting sqref="C17:C316">
    <cfRule type="expression" priority="14" aboveAverage="0" equalAverage="0" bottom="0" percent="0" rank="0" text="" dxfId="480">
      <formula>$C17="Sí"</formula>
    </cfRule>
    <cfRule type="expression" priority="15" aboveAverage="0" equalAverage="0" bottom="0" percent="0" rank="0" text="" dxfId="48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CS-33 · LIMPIAR BÚSQUEDA</v>
      </c>
      <c r="B1" s="9"/>
      <c r="C1" s="9"/>
      <c r="D1" s="9"/>
      <c r="E1" s="9"/>
      <c r="F1" s="10" t="s">
        <v>147</v>
      </c>
    </row>
    <row r="2" customFormat="false" ht="18" hidden="false" customHeight="true" outlineLevel="0" collapsed="false">
      <c r="A2" s="11" t="s">
        <v>3</v>
      </c>
      <c r="B2" s="12" t="s">
        <v>82</v>
      </c>
      <c r="C2" s="12"/>
      <c r="D2" s="12"/>
      <c r="E2" s="12"/>
      <c r="F2" s="12"/>
    </row>
    <row r="3" customFormat="false" ht="15" hidden="false" customHeight="true" outlineLevel="0" collapsed="false">
      <c r="A3" s="11" t="s">
        <v>4</v>
      </c>
      <c r="B3" s="13" t="str">
        <f aca="false">IFERROR(INDEX(Historias[Título],MATCH($B$2,Historias[Ref],0))&amp;"","")</f>
        <v>LIMPIAR BÚSQUEDA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4</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246</v>
      </c>
      <c r="C12" s="15"/>
      <c r="D12" s="15"/>
      <c r="E12" s="15"/>
      <c r="F12" s="15"/>
    </row>
    <row r="13" customFormat="false" ht="78" hidden="false" customHeight="true" outlineLevel="0" collapsed="false">
      <c r="A13" s="11" t="s">
        <v>155</v>
      </c>
      <c r="B13" s="15" t="s">
        <v>247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IF(Obj_CS33[[#This Row],[Descripción]]="","",ROW()-ROW(Obj_CS33[[#Headers],[Objetivo]]))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82">
      <formula>$B4="En progreso"</formula>
    </cfRule>
    <cfRule type="expression" priority="3" aboveAverage="0" equalAverage="0" bottom="0" percent="0" rank="0" text="" dxfId="483">
      <formula>$B4="En espera"</formula>
    </cfRule>
    <cfRule type="expression" priority="4" aboveAverage="0" equalAverage="0" bottom="0" percent="0" rank="0" text="" dxfId="484">
      <formula>$B4="Finalizada"</formula>
    </cfRule>
    <cfRule type="expression" priority="5" aboveAverage="0" equalAverage="0" bottom="0" percent="0" rank="0" text="" dxfId="485">
      <formula>$B4="Sin página"</formula>
    </cfRule>
  </conditionalFormatting>
  <conditionalFormatting sqref="B5">
    <cfRule type="expression" priority="6" aboveAverage="0" equalAverage="0" bottom="0" percent="0" rank="0" text="" dxfId="486">
      <formula>$B5="I"</formula>
    </cfRule>
    <cfRule type="expression" priority="7" aboveAverage="0" equalAverage="0" bottom="0" percent="0" rank="0" text="" dxfId="487">
      <formula>$B5="N"</formula>
    </cfRule>
    <cfRule type="expression" priority="8" aboveAverage="0" equalAverage="0" bottom="0" percent="0" rank="0" text="" dxfId="488">
      <formula>$B5="M"</formula>
    </cfRule>
  </conditionalFormatting>
  <conditionalFormatting sqref="B6">
    <cfRule type="expression" priority="9" aboveAverage="0" equalAverage="0" bottom="0" percent="0" rank="0" text="" dxfId="489">
      <formula>$B6="Bajo"</formula>
    </cfRule>
    <cfRule type="expression" priority="10" aboveAverage="0" equalAverage="0" bottom="0" percent="0" rank="0" text="" dxfId="490">
      <formula>$B6="Medio bajo"</formula>
    </cfRule>
    <cfRule type="expression" priority="11" aboveAverage="0" equalAverage="0" bottom="0" percent="0" rank="0" text="" dxfId="491">
      <formula>$B6="Medio"</formula>
    </cfRule>
    <cfRule type="expression" priority="12" aboveAverage="0" equalAverage="0" bottom="0" percent="0" rank="0" text="" dxfId="492">
      <formula>$B6="Alto"</formula>
    </cfRule>
    <cfRule type="expression" priority="13" aboveAverage="0" equalAverage="0" bottom="0" percent="0" rank="0" text="" dxfId="493">
      <formula>$B6="Muy alto"</formula>
    </cfRule>
  </conditionalFormatting>
  <conditionalFormatting sqref="C17:C316">
    <cfRule type="expression" priority="14" aboveAverage="0" equalAverage="0" bottom="0" percent="0" rank="0" text="" dxfId="494">
      <formula>$C17="Sí"</formula>
    </cfRule>
    <cfRule type="expression" priority="15" aboveAverage="0" equalAverage="0" bottom="0" percent="0" rank="0" text="" dxfId="49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CS-34 · ESTADOS DE “CARGA”, “SIN RESULTADOS” Y “ERROR”</v>
      </c>
      <c r="B1" s="9"/>
      <c r="C1" s="9"/>
      <c r="D1" s="9"/>
      <c r="E1" s="9"/>
      <c r="F1" s="10" t="s">
        <v>147</v>
      </c>
    </row>
    <row r="2" customFormat="false" ht="18" hidden="false" customHeight="true" outlineLevel="0" collapsed="false">
      <c r="A2" s="11" t="s">
        <v>3</v>
      </c>
      <c r="B2" s="12" t="s">
        <v>84</v>
      </c>
      <c r="C2" s="12"/>
      <c r="D2" s="12"/>
      <c r="E2" s="12"/>
      <c r="F2" s="12"/>
    </row>
    <row r="3" customFormat="false" ht="15" hidden="false" customHeight="true" outlineLevel="0" collapsed="false">
      <c r="A3" s="11" t="s">
        <v>4</v>
      </c>
      <c r="B3" s="13" t="str">
        <f aca="false">IFERROR(INDEX(Historias[Título],MATCH($B$2,Historias[Ref],0))&amp;"","")</f>
        <v>ESTADOS DE “CARGA”, “SIN RESULTADOS” Y “ERROR”</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248</v>
      </c>
      <c r="C12" s="15"/>
      <c r="D12" s="15"/>
      <c r="E12" s="15"/>
      <c r="F12" s="15"/>
    </row>
    <row r="13" customFormat="false" ht="78" hidden="false" customHeight="true" outlineLevel="0" collapsed="false">
      <c r="A13" s="11" t="s">
        <v>155</v>
      </c>
      <c r="B13" s="15" t="s">
        <v>249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IF(Obj_CS34[[#This Row],[Descripción]]="","",ROW()-ROW(Obj_CS34[[#Headers],[Objetivo]]))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496">
      <formula>$B4="En progreso"</formula>
    </cfRule>
    <cfRule type="expression" priority="3" aboveAverage="0" equalAverage="0" bottom="0" percent="0" rank="0" text="" dxfId="497">
      <formula>$B4="En espera"</formula>
    </cfRule>
    <cfRule type="expression" priority="4" aboveAverage="0" equalAverage="0" bottom="0" percent="0" rank="0" text="" dxfId="498">
      <formula>$B4="Finalizada"</formula>
    </cfRule>
    <cfRule type="expression" priority="5" aboveAverage="0" equalAverage="0" bottom="0" percent="0" rank="0" text="" dxfId="499">
      <formula>$B4="Sin página"</formula>
    </cfRule>
  </conditionalFormatting>
  <conditionalFormatting sqref="B5">
    <cfRule type="expression" priority="6" aboveAverage="0" equalAverage="0" bottom="0" percent="0" rank="0" text="" dxfId="500">
      <formula>$B5="I"</formula>
    </cfRule>
    <cfRule type="expression" priority="7" aboveAverage="0" equalAverage="0" bottom="0" percent="0" rank="0" text="" dxfId="501">
      <formula>$B5="N"</formula>
    </cfRule>
    <cfRule type="expression" priority="8" aboveAverage="0" equalAverage="0" bottom="0" percent="0" rank="0" text="" dxfId="502">
      <formula>$B5="M"</formula>
    </cfRule>
  </conditionalFormatting>
  <conditionalFormatting sqref="B6">
    <cfRule type="expression" priority="9" aboveAverage="0" equalAverage="0" bottom="0" percent="0" rank="0" text="" dxfId="503">
      <formula>$B6="Bajo"</formula>
    </cfRule>
    <cfRule type="expression" priority="10" aboveAverage="0" equalAverage="0" bottom="0" percent="0" rank="0" text="" dxfId="504">
      <formula>$B6="Medio bajo"</formula>
    </cfRule>
    <cfRule type="expression" priority="11" aboveAverage="0" equalAverage="0" bottom="0" percent="0" rank="0" text="" dxfId="505">
      <formula>$B6="Medio"</formula>
    </cfRule>
    <cfRule type="expression" priority="12" aboveAverage="0" equalAverage="0" bottom="0" percent="0" rank="0" text="" dxfId="506">
      <formula>$B6="Alto"</formula>
    </cfRule>
    <cfRule type="expression" priority="13" aboveAverage="0" equalAverage="0" bottom="0" percent="0" rank="0" text="" dxfId="507">
      <formula>$B6="Muy alto"</formula>
    </cfRule>
  </conditionalFormatting>
  <conditionalFormatting sqref="C17:C316">
    <cfRule type="expression" priority="14" aboveAverage="0" equalAverage="0" bottom="0" percent="0" rank="0" text="" dxfId="508">
      <formula>$C17="Sí"</formula>
    </cfRule>
    <cfRule type="expression" priority="15" aboveAverage="0" equalAverage="0" bottom="0" percent="0" rank="0" text="" dxfId="50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CS-35 · CARGA DE RESULTADOS</v>
      </c>
      <c r="B1" s="9"/>
      <c r="C1" s="9"/>
      <c r="D1" s="9"/>
      <c r="E1" s="9"/>
      <c r="F1" s="10" t="s">
        <v>147</v>
      </c>
    </row>
    <row r="2" customFormat="false" ht="18" hidden="false" customHeight="true" outlineLevel="0" collapsed="false">
      <c r="A2" s="11" t="s">
        <v>3</v>
      </c>
      <c r="B2" s="12" t="s">
        <v>86</v>
      </c>
      <c r="C2" s="12"/>
      <c r="D2" s="12"/>
      <c r="E2" s="12"/>
      <c r="F2" s="12"/>
    </row>
    <row r="3" customFormat="false" ht="15" hidden="false" customHeight="true" outlineLevel="0" collapsed="false">
      <c r="A3" s="11" t="s">
        <v>4</v>
      </c>
      <c r="B3" s="13" t="str">
        <f aca="false">IFERROR(INDEX(Historias[Título],MATCH($B$2,Historias[Ref],0))&amp;"","")</f>
        <v>CARGA DE RESULTADOS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8</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250</v>
      </c>
      <c r="C12" s="15"/>
      <c r="D12" s="15"/>
      <c r="E12" s="15"/>
      <c r="F12" s="15"/>
    </row>
    <row r="13" customFormat="false" ht="63" hidden="false" customHeight="true" outlineLevel="0" collapsed="false">
      <c r="A13" s="11" t="s">
        <v>155</v>
      </c>
      <c r="B13" s="15" t="s">
        <v>251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IF(Obj_CS35[[#This Row],[Descripción]]="","",ROW()-ROW(Obj_CS35[[#Headers],[Objetivo]]))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10">
      <formula>$B4="En progreso"</formula>
    </cfRule>
    <cfRule type="expression" priority="3" aboveAverage="0" equalAverage="0" bottom="0" percent="0" rank="0" text="" dxfId="511">
      <formula>$B4="En espera"</formula>
    </cfRule>
    <cfRule type="expression" priority="4" aboveAverage="0" equalAverage="0" bottom="0" percent="0" rank="0" text="" dxfId="512">
      <formula>$B4="Finalizada"</formula>
    </cfRule>
    <cfRule type="expression" priority="5" aboveAverage="0" equalAverage="0" bottom="0" percent="0" rank="0" text="" dxfId="513">
      <formula>$B4="Sin página"</formula>
    </cfRule>
  </conditionalFormatting>
  <conditionalFormatting sqref="B5">
    <cfRule type="expression" priority="6" aboveAverage="0" equalAverage="0" bottom="0" percent="0" rank="0" text="" dxfId="514">
      <formula>$B5="I"</formula>
    </cfRule>
    <cfRule type="expression" priority="7" aboveAverage="0" equalAverage="0" bottom="0" percent="0" rank="0" text="" dxfId="515">
      <formula>$B5="N"</formula>
    </cfRule>
    <cfRule type="expression" priority="8" aboveAverage="0" equalAverage="0" bottom="0" percent="0" rank="0" text="" dxfId="516">
      <formula>$B5="M"</formula>
    </cfRule>
  </conditionalFormatting>
  <conditionalFormatting sqref="B6">
    <cfRule type="expression" priority="9" aboveAverage="0" equalAverage="0" bottom="0" percent="0" rank="0" text="" dxfId="517">
      <formula>$B6="Bajo"</formula>
    </cfRule>
    <cfRule type="expression" priority="10" aboveAverage="0" equalAverage="0" bottom="0" percent="0" rank="0" text="" dxfId="518">
      <formula>$B6="Medio bajo"</formula>
    </cfRule>
    <cfRule type="expression" priority="11" aboveAverage="0" equalAverage="0" bottom="0" percent="0" rank="0" text="" dxfId="519">
      <formula>$B6="Medio"</formula>
    </cfRule>
    <cfRule type="expression" priority="12" aboveAverage="0" equalAverage="0" bottom="0" percent="0" rank="0" text="" dxfId="520">
      <formula>$B6="Alto"</formula>
    </cfRule>
    <cfRule type="expression" priority="13" aboveAverage="0" equalAverage="0" bottom="0" percent="0" rank="0" text="" dxfId="521">
      <formula>$B6="Muy alto"</formula>
    </cfRule>
  </conditionalFormatting>
  <conditionalFormatting sqref="C17:C316">
    <cfRule type="expression" priority="14" aboveAverage="0" equalAverage="0" bottom="0" percent="0" rank="0" text="" dxfId="522">
      <formula>$C17="Sí"</formula>
    </cfRule>
    <cfRule type="expression" priority="15" aboveAverage="0" equalAverage="0" bottom="0" percent="0" rank="0" text="" dxfId="52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CS-36 · ORDENACIÓN POR CERCANÍA</v>
      </c>
      <c r="B1" s="9"/>
      <c r="C1" s="9"/>
      <c r="D1" s="9"/>
      <c r="E1" s="9"/>
      <c r="F1" s="10" t="s">
        <v>147</v>
      </c>
    </row>
    <row r="2" customFormat="false" ht="18" hidden="false" customHeight="true" outlineLevel="0" collapsed="false">
      <c r="A2" s="11" t="s">
        <v>3</v>
      </c>
      <c r="B2" s="12" t="s">
        <v>88</v>
      </c>
      <c r="C2" s="12"/>
      <c r="D2" s="12"/>
      <c r="E2" s="12"/>
      <c r="F2" s="12"/>
    </row>
    <row r="3" customFormat="false" ht="15" hidden="false" customHeight="true" outlineLevel="0" collapsed="false">
      <c r="A3" s="11" t="s">
        <v>4</v>
      </c>
      <c r="B3" s="13" t="str">
        <f aca="false">IFERROR(INDEX(Historias[Título],MATCH($B$2,Historias[Ref],0))&amp;"","")</f>
        <v>ORDENACIÓN POR CERCANÍA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6</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252</v>
      </c>
      <c r="C12" s="15"/>
      <c r="D12" s="15"/>
      <c r="E12" s="15"/>
      <c r="F12" s="15"/>
    </row>
    <row r="13" customFormat="false" ht="78" hidden="false" customHeight="true" outlineLevel="0" collapsed="false">
      <c r="A13" s="11" t="s">
        <v>155</v>
      </c>
      <c r="B13" s="15" t="s">
        <v>253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IF(Obj_CS36[[#This Row],[Descripción]]="","",ROW()-ROW(Obj_CS36[[#Headers],[Objetivo]]))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24">
      <formula>$B4="En progreso"</formula>
    </cfRule>
    <cfRule type="expression" priority="3" aboveAverage="0" equalAverage="0" bottom="0" percent="0" rank="0" text="" dxfId="525">
      <formula>$B4="En espera"</formula>
    </cfRule>
    <cfRule type="expression" priority="4" aboveAverage="0" equalAverage="0" bottom="0" percent="0" rank="0" text="" dxfId="526">
      <formula>$B4="Finalizada"</formula>
    </cfRule>
    <cfRule type="expression" priority="5" aboveAverage="0" equalAverage="0" bottom="0" percent="0" rank="0" text="" dxfId="527">
      <formula>$B4="Sin página"</formula>
    </cfRule>
  </conditionalFormatting>
  <conditionalFormatting sqref="B5">
    <cfRule type="expression" priority="6" aboveAverage="0" equalAverage="0" bottom="0" percent="0" rank="0" text="" dxfId="528">
      <formula>$B5="I"</formula>
    </cfRule>
    <cfRule type="expression" priority="7" aboveAverage="0" equalAverage="0" bottom="0" percent="0" rank="0" text="" dxfId="529">
      <formula>$B5="N"</formula>
    </cfRule>
    <cfRule type="expression" priority="8" aboveAverage="0" equalAverage="0" bottom="0" percent="0" rank="0" text="" dxfId="530">
      <formula>$B5="M"</formula>
    </cfRule>
  </conditionalFormatting>
  <conditionalFormatting sqref="B6">
    <cfRule type="expression" priority="9" aboveAverage="0" equalAverage="0" bottom="0" percent="0" rank="0" text="" dxfId="531">
      <formula>$B6="Bajo"</formula>
    </cfRule>
    <cfRule type="expression" priority="10" aboveAverage="0" equalAverage="0" bottom="0" percent="0" rank="0" text="" dxfId="532">
      <formula>$B6="Medio bajo"</formula>
    </cfRule>
    <cfRule type="expression" priority="11" aboveAverage="0" equalAverage="0" bottom="0" percent="0" rank="0" text="" dxfId="533">
      <formula>$B6="Medio"</formula>
    </cfRule>
    <cfRule type="expression" priority="12" aboveAverage="0" equalAverage="0" bottom="0" percent="0" rank="0" text="" dxfId="534">
      <formula>$B6="Alto"</formula>
    </cfRule>
    <cfRule type="expression" priority="13" aboveAverage="0" equalAverage="0" bottom="0" percent="0" rank="0" text="" dxfId="535">
      <formula>$B6="Muy alto"</formula>
    </cfRule>
  </conditionalFormatting>
  <conditionalFormatting sqref="C17:C316">
    <cfRule type="expression" priority="14" aboveAverage="0" equalAverage="0" bottom="0" percent="0" rank="0" text="" dxfId="536">
      <formula>$C17="Sí"</formula>
    </cfRule>
    <cfRule type="expression" priority="15" aboveAverage="0" equalAverage="0" bottom="0" percent="0" rank="0" text="" dxfId="53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CS-37 · Compartir una experiencia mediante un enlace</v>
      </c>
      <c r="B1" s="9"/>
      <c r="C1" s="9"/>
      <c r="D1" s="9"/>
      <c r="E1" s="9"/>
      <c r="F1" s="10" t="s">
        <v>147</v>
      </c>
    </row>
    <row r="2" customFormat="false" ht="18" hidden="false" customHeight="true" outlineLevel="0" collapsed="false">
      <c r="A2" s="11" t="s">
        <v>3</v>
      </c>
      <c r="B2" s="12" t="s">
        <v>90</v>
      </c>
      <c r="C2" s="12"/>
      <c r="D2" s="12"/>
      <c r="E2" s="12"/>
      <c r="F2" s="12"/>
    </row>
    <row r="3" customFormat="false" ht="15" hidden="false" customHeight="true" outlineLevel="0" collapsed="false">
      <c r="A3" s="11" t="s">
        <v>4</v>
      </c>
      <c r="B3" s="13" t="str">
        <f aca="false">IFERROR(INDEX(Historias[Título],MATCH($B$2,Historias[Ref],0))&amp;"","")</f>
        <v>Compartir una experiencia mediante un enlace</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255</v>
      </c>
      <c r="C11" s="15"/>
      <c r="D11" s="15"/>
      <c r="E11" s="15"/>
      <c r="F11" s="15"/>
    </row>
    <row r="12" customFormat="false" ht="45" hidden="false" customHeight="true" outlineLevel="0" collapsed="false">
      <c r="A12" s="11" t="s">
        <v>153</v>
      </c>
      <c r="B12" s="15" t="s">
        <v>256</v>
      </c>
      <c r="C12" s="15"/>
      <c r="D12" s="15"/>
      <c r="E12" s="15"/>
      <c r="F12" s="15"/>
    </row>
    <row r="13" customFormat="false" ht="45" hidden="false" customHeight="true" outlineLevel="0" collapsed="false">
      <c r="A13" s="11" t="s">
        <v>155</v>
      </c>
      <c r="B13" s="15" t="s">
        <v>257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IF(Obj_CS37[[#This Row],[Descripción]]="","",ROW()-ROW(Obj_CS37[[#Headers],[Objetivo]]))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38">
      <formula>$B4="En progreso"</formula>
    </cfRule>
    <cfRule type="expression" priority="3" aboveAverage="0" equalAverage="0" bottom="0" percent="0" rank="0" text="" dxfId="539">
      <formula>$B4="En espera"</formula>
    </cfRule>
    <cfRule type="expression" priority="4" aboveAverage="0" equalAverage="0" bottom="0" percent="0" rank="0" text="" dxfId="540">
      <formula>$B4="Finalizada"</formula>
    </cfRule>
    <cfRule type="expression" priority="5" aboveAverage="0" equalAverage="0" bottom="0" percent="0" rank="0" text="" dxfId="541">
      <formula>$B4="Sin página"</formula>
    </cfRule>
  </conditionalFormatting>
  <conditionalFormatting sqref="B5">
    <cfRule type="expression" priority="6" aboveAverage="0" equalAverage="0" bottom="0" percent="0" rank="0" text="" dxfId="542">
      <formula>$B5="I"</formula>
    </cfRule>
    <cfRule type="expression" priority="7" aboveAverage="0" equalAverage="0" bottom="0" percent="0" rank="0" text="" dxfId="543">
      <formula>$B5="N"</formula>
    </cfRule>
    <cfRule type="expression" priority="8" aboveAverage="0" equalAverage="0" bottom="0" percent="0" rank="0" text="" dxfId="544">
      <formula>$B5="M"</formula>
    </cfRule>
  </conditionalFormatting>
  <conditionalFormatting sqref="B6">
    <cfRule type="expression" priority="9" aboveAverage="0" equalAverage="0" bottom="0" percent="0" rank="0" text="" dxfId="545">
      <formula>$B6="Bajo"</formula>
    </cfRule>
    <cfRule type="expression" priority="10" aboveAverage="0" equalAverage="0" bottom="0" percent="0" rank="0" text="" dxfId="546">
      <formula>$B6="Medio bajo"</formula>
    </cfRule>
    <cfRule type="expression" priority="11" aboveAverage="0" equalAverage="0" bottom="0" percent="0" rank="0" text="" dxfId="547">
      <formula>$B6="Medio"</formula>
    </cfRule>
    <cfRule type="expression" priority="12" aboveAverage="0" equalAverage="0" bottom="0" percent="0" rank="0" text="" dxfId="548">
      <formula>$B6="Alto"</formula>
    </cfRule>
    <cfRule type="expression" priority="13" aboveAverage="0" equalAverage="0" bottom="0" percent="0" rank="0" text="" dxfId="549">
      <formula>$B6="Muy alto"</formula>
    </cfRule>
  </conditionalFormatting>
  <conditionalFormatting sqref="C17:C316">
    <cfRule type="expression" priority="14" aboveAverage="0" equalAverage="0" bottom="0" percent="0" rank="0" text="" dxfId="550">
      <formula>$C17="Sí"</formula>
    </cfRule>
    <cfRule type="expression" priority="15" aboveAverage="0" equalAverage="0" bottom="0" percent="0" rank="0" text="" dxfId="55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CS-38 · Compartir mediante otras aplicaciones</v>
      </c>
      <c r="B1" s="9"/>
      <c r="C1" s="9"/>
      <c r="D1" s="9"/>
      <c r="E1" s="9"/>
      <c r="F1" s="10" t="s">
        <v>147</v>
      </c>
    </row>
    <row r="2" customFormat="false" ht="18" hidden="false" customHeight="true" outlineLevel="0" collapsed="false">
      <c r="A2" s="11" t="s">
        <v>3</v>
      </c>
      <c r="B2" s="12" t="s">
        <v>92</v>
      </c>
      <c r="C2" s="12"/>
      <c r="D2" s="12"/>
      <c r="E2" s="12"/>
      <c r="F2" s="12"/>
    </row>
    <row r="3" customFormat="false" ht="15" hidden="false" customHeight="true" outlineLevel="0" collapsed="false">
      <c r="A3" s="11" t="s">
        <v>4</v>
      </c>
      <c r="B3" s="13" t="str">
        <f aca="false">IFERROR(INDEX(Historias[Título],MATCH($B$2,Historias[Ref],0))&amp;"","")</f>
        <v>Compartir mediante otras aplicaciones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255</v>
      </c>
      <c r="C11" s="15"/>
      <c r="D11" s="15"/>
      <c r="E11" s="15"/>
      <c r="F11" s="15"/>
    </row>
    <row r="12" customFormat="false" ht="45" hidden="false" customHeight="true" outlineLevel="0" collapsed="false">
      <c r="A12" s="11" t="s">
        <v>153</v>
      </c>
      <c r="B12" s="15" t="s">
        <v>258</v>
      </c>
      <c r="C12" s="15"/>
      <c r="D12" s="15"/>
      <c r="E12" s="15"/>
      <c r="F12" s="15"/>
    </row>
    <row r="13" customFormat="false" ht="45" hidden="false" customHeight="true" outlineLevel="0" collapsed="false">
      <c r="A13" s="11" t="s">
        <v>155</v>
      </c>
      <c r="B13" s="15" t="s">
        <v>259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IF(Obj_CS38[[#This Row],[Descripción]]="","",ROW()-ROW(Obj_CS38[[#Headers],[Objetivo]]))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52">
      <formula>$B4="En progreso"</formula>
    </cfRule>
    <cfRule type="expression" priority="3" aboveAverage="0" equalAverage="0" bottom="0" percent="0" rank="0" text="" dxfId="553">
      <formula>$B4="En espera"</formula>
    </cfRule>
    <cfRule type="expression" priority="4" aboveAverage="0" equalAverage="0" bottom="0" percent="0" rank="0" text="" dxfId="554">
      <formula>$B4="Finalizada"</formula>
    </cfRule>
    <cfRule type="expression" priority="5" aboveAverage="0" equalAverage="0" bottom="0" percent="0" rank="0" text="" dxfId="555">
      <formula>$B4="Sin página"</formula>
    </cfRule>
  </conditionalFormatting>
  <conditionalFormatting sqref="B5">
    <cfRule type="expression" priority="6" aboveAverage="0" equalAverage="0" bottom="0" percent="0" rank="0" text="" dxfId="556">
      <formula>$B5="I"</formula>
    </cfRule>
    <cfRule type="expression" priority="7" aboveAverage="0" equalAverage="0" bottom="0" percent="0" rank="0" text="" dxfId="557">
      <formula>$B5="N"</formula>
    </cfRule>
    <cfRule type="expression" priority="8" aboveAverage="0" equalAverage="0" bottom="0" percent="0" rank="0" text="" dxfId="558">
      <formula>$B5="M"</formula>
    </cfRule>
  </conditionalFormatting>
  <conditionalFormatting sqref="B6">
    <cfRule type="expression" priority="9" aboveAverage="0" equalAverage="0" bottom="0" percent="0" rank="0" text="" dxfId="559">
      <formula>$B6="Bajo"</formula>
    </cfRule>
    <cfRule type="expression" priority="10" aboveAverage="0" equalAverage="0" bottom="0" percent="0" rank="0" text="" dxfId="560">
      <formula>$B6="Medio bajo"</formula>
    </cfRule>
    <cfRule type="expression" priority="11" aboveAverage="0" equalAverage="0" bottom="0" percent="0" rank="0" text="" dxfId="561">
      <formula>$B6="Medio"</formula>
    </cfRule>
    <cfRule type="expression" priority="12" aboveAverage="0" equalAverage="0" bottom="0" percent="0" rank="0" text="" dxfId="562">
      <formula>$B6="Alto"</formula>
    </cfRule>
    <cfRule type="expression" priority="13" aboveAverage="0" equalAverage="0" bottom="0" percent="0" rank="0" text="" dxfId="563">
      <formula>$B6="Muy alto"</formula>
    </cfRule>
  </conditionalFormatting>
  <conditionalFormatting sqref="C17:C316">
    <cfRule type="expression" priority="14" aboveAverage="0" equalAverage="0" bottom="0" percent="0" rank="0" text="" dxfId="564">
      <formula>$C17="Sí"</formula>
    </cfRule>
    <cfRule type="expression" priority="15" aboveAverage="0" equalAverage="0" bottom="0" percent="0" rank="0" text="" dxfId="56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CS-39 · Recomendaciones según la ciudad</v>
      </c>
      <c r="B1" s="9"/>
      <c r="C1" s="9"/>
      <c r="D1" s="9"/>
      <c r="E1" s="9"/>
      <c r="F1" s="10" t="s">
        <v>147</v>
      </c>
    </row>
    <row r="2" customFormat="false" ht="18" hidden="false" customHeight="true" outlineLevel="0" collapsed="false">
      <c r="A2" s="11" t="s">
        <v>3</v>
      </c>
      <c r="B2" s="12" t="s">
        <v>94</v>
      </c>
      <c r="C2" s="12"/>
      <c r="D2" s="12"/>
      <c r="E2" s="12"/>
      <c r="F2" s="12"/>
    </row>
    <row r="3" customFormat="false" ht="15" hidden="false" customHeight="true" outlineLevel="0" collapsed="false">
      <c r="A3" s="11" t="s">
        <v>4</v>
      </c>
      <c r="B3" s="13" t="str">
        <f aca="false">IFERROR(INDEX(Historias[Título],MATCH($B$2,Historias[Ref],0))&amp;"","")</f>
        <v>Recomendaciones según la ciudad</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260</v>
      </c>
      <c r="C11" s="15"/>
      <c r="D11" s="15"/>
      <c r="E11" s="15"/>
      <c r="F11" s="15"/>
    </row>
    <row r="12" customFormat="false" ht="45" hidden="false" customHeight="true" outlineLevel="0" collapsed="false">
      <c r="A12" s="11" t="s">
        <v>153</v>
      </c>
      <c r="B12" s="15" t="s">
        <v>261</v>
      </c>
      <c r="C12" s="15"/>
      <c r="D12" s="15"/>
      <c r="E12" s="15"/>
      <c r="F12" s="15"/>
    </row>
    <row r="13" customFormat="false" ht="45" hidden="false" customHeight="true" outlineLevel="0" collapsed="false">
      <c r="A13" s="11" t="s">
        <v>155</v>
      </c>
      <c r="B13" s="15" t="s">
        <v>262</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IF(Obj_CS39[[#This Row],[Descripción]]="","",ROW()-ROW(Obj_CS39[[#Headers],[Objetivo]]))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66">
      <formula>$B4="En progreso"</formula>
    </cfRule>
    <cfRule type="expression" priority="3" aboveAverage="0" equalAverage="0" bottom="0" percent="0" rank="0" text="" dxfId="567">
      <formula>$B4="En espera"</formula>
    </cfRule>
    <cfRule type="expression" priority="4" aboveAverage="0" equalAverage="0" bottom="0" percent="0" rank="0" text="" dxfId="568">
      <formula>$B4="Finalizada"</formula>
    </cfRule>
    <cfRule type="expression" priority="5" aboveAverage="0" equalAverage="0" bottom="0" percent="0" rank="0" text="" dxfId="569">
      <formula>$B4="Sin página"</formula>
    </cfRule>
  </conditionalFormatting>
  <conditionalFormatting sqref="B5">
    <cfRule type="expression" priority="6" aboveAverage="0" equalAverage="0" bottom="0" percent="0" rank="0" text="" dxfId="570">
      <formula>$B5="I"</formula>
    </cfRule>
    <cfRule type="expression" priority="7" aboveAverage="0" equalAverage="0" bottom="0" percent="0" rank="0" text="" dxfId="571">
      <formula>$B5="N"</formula>
    </cfRule>
    <cfRule type="expression" priority="8" aboveAverage="0" equalAverage="0" bottom="0" percent="0" rank="0" text="" dxfId="572">
      <formula>$B5="M"</formula>
    </cfRule>
  </conditionalFormatting>
  <conditionalFormatting sqref="B6">
    <cfRule type="expression" priority="9" aboveAverage="0" equalAverage="0" bottom="0" percent="0" rank="0" text="" dxfId="573">
      <formula>$B6="Bajo"</formula>
    </cfRule>
    <cfRule type="expression" priority="10" aboveAverage="0" equalAverage="0" bottom="0" percent="0" rank="0" text="" dxfId="574">
      <formula>$B6="Medio bajo"</formula>
    </cfRule>
    <cfRule type="expression" priority="11" aboveAverage="0" equalAverage="0" bottom="0" percent="0" rank="0" text="" dxfId="575">
      <formula>$B6="Medio"</formula>
    </cfRule>
    <cfRule type="expression" priority="12" aboveAverage="0" equalAverage="0" bottom="0" percent="0" rank="0" text="" dxfId="576">
      <formula>$B6="Alto"</formula>
    </cfRule>
    <cfRule type="expression" priority="13" aboveAverage="0" equalAverage="0" bottom="0" percent="0" rank="0" text="" dxfId="577">
      <formula>$B6="Muy alto"</formula>
    </cfRule>
  </conditionalFormatting>
  <conditionalFormatting sqref="C17:C316">
    <cfRule type="expression" priority="14" aboveAverage="0" equalAverage="0" bottom="0" percent="0" rank="0" text="" dxfId="578">
      <formula>$C17="Sí"</formula>
    </cfRule>
    <cfRule type="expression" priority="15" aboveAverage="0" equalAverage="0" bottom="0" percent="0" rank="0" text="" dxfId="57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CS-40 · Recomendaciones según mis gustos</v>
      </c>
      <c r="B1" s="9"/>
      <c r="C1" s="9"/>
      <c r="D1" s="9"/>
      <c r="E1" s="9"/>
      <c r="F1" s="10" t="s">
        <v>147</v>
      </c>
    </row>
    <row r="2" customFormat="false" ht="18" hidden="false" customHeight="true" outlineLevel="0" collapsed="false">
      <c r="A2" s="11" t="s">
        <v>3</v>
      </c>
      <c r="B2" s="12" t="s">
        <v>96</v>
      </c>
      <c r="C2" s="12"/>
      <c r="D2" s="12"/>
      <c r="E2" s="12"/>
      <c r="F2" s="12"/>
    </row>
    <row r="3" customFormat="false" ht="15" hidden="false" customHeight="true" outlineLevel="0" collapsed="false">
      <c r="A3" s="11" t="s">
        <v>4</v>
      </c>
      <c r="B3" s="13" t="str">
        <f aca="false">IFERROR(INDEX(Historias[Título],MATCH($B$2,Historias[Ref],0))&amp;"","")</f>
        <v>Recomendaciones según mis gustos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5</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260</v>
      </c>
      <c r="C11" s="15"/>
      <c r="D11" s="15"/>
      <c r="E11" s="15"/>
      <c r="F11" s="15"/>
    </row>
    <row r="12" customFormat="false" ht="45" hidden="false" customHeight="true" outlineLevel="0" collapsed="false">
      <c r="A12" s="11" t="s">
        <v>153</v>
      </c>
      <c r="B12" s="15" t="s">
        <v>263</v>
      </c>
      <c r="C12" s="15"/>
      <c r="D12" s="15"/>
      <c r="E12" s="15"/>
      <c r="F12" s="15"/>
    </row>
    <row r="13" customFormat="false" ht="45" hidden="false" customHeight="true" outlineLevel="0" collapsed="false">
      <c r="A13" s="11" t="s">
        <v>155</v>
      </c>
      <c r="B13" s="15" t="s">
        <v>264</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IF(Obj_CS40[[#This Row],[Descripción]]="","",ROW()-ROW(Obj_CS40[[#Headers],[Objetivo]]))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80">
      <formula>$B4="En progreso"</formula>
    </cfRule>
    <cfRule type="expression" priority="3" aboveAverage="0" equalAverage="0" bottom="0" percent="0" rank="0" text="" dxfId="581">
      <formula>$B4="En espera"</formula>
    </cfRule>
    <cfRule type="expression" priority="4" aboveAverage="0" equalAverage="0" bottom="0" percent="0" rank="0" text="" dxfId="582">
      <formula>$B4="Finalizada"</formula>
    </cfRule>
    <cfRule type="expression" priority="5" aboveAverage="0" equalAverage="0" bottom="0" percent="0" rank="0" text="" dxfId="583">
      <formula>$B4="Sin página"</formula>
    </cfRule>
  </conditionalFormatting>
  <conditionalFormatting sqref="B5">
    <cfRule type="expression" priority="6" aboveAverage="0" equalAverage="0" bottom="0" percent="0" rank="0" text="" dxfId="584">
      <formula>$B5="I"</formula>
    </cfRule>
    <cfRule type="expression" priority="7" aboveAverage="0" equalAverage="0" bottom="0" percent="0" rank="0" text="" dxfId="585">
      <formula>$B5="N"</formula>
    </cfRule>
    <cfRule type="expression" priority="8" aboveAverage="0" equalAverage="0" bottom="0" percent="0" rank="0" text="" dxfId="586">
      <formula>$B5="M"</formula>
    </cfRule>
  </conditionalFormatting>
  <conditionalFormatting sqref="B6">
    <cfRule type="expression" priority="9" aboveAverage="0" equalAverage="0" bottom="0" percent="0" rank="0" text="" dxfId="587">
      <formula>$B6="Bajo"</formula>
    </cfRule>
    <cfRule type="expression" priority="10" aboveAverage="0" equalAverage="0" bottom="0" percent="0" rank="0" text="" dxfId="588">
      <formula>$B6="Medio bajo"</formula>
    </cfRule>
    <cfRule type="expression" priority="11" aboveAverage="0" equalAverage="0" bottom="0" percent="0" rank="0" text="" dxfId="589">
      <formula>$B6="Medio"</formula>
    </cfRule>
    <cfRule type="expression" priority="12" aboveAverage="0" equalAverage="0" bottom="0" percent="0" rank="0" text="" dxfId="590">
      <formula>$B6="Alto"</formula>
    </cfRule>
    <cfRule type="expression" priority="13" aboveAverage="0" equalAverage="0" bottom="0" percent="0" rank="0" text="" dxfId="591">
      <formula>$B6="Muy alto"</formula>
    </cfRule>
  </conditionalFormatting>
  <conditionalFormatting sqref="C17:C316">
    <cfRule type="expression" priority="14" aboveAverage="0" equalAverage="0" bottom="0" percent="0" rank="0" text="" dxfId="592">
      <formula>$C17="Sí"</formula>
    </cfRule>
    <cfRule type="expression" priority="15" aboveAverage="0" equalAverage="0" bottom="0" percent="0" rank="0" text="" dxfId="59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CS-41 · Experiencias similares a las guardadas</v>
      </c>
      <c r="B1" s="9"/>
      <c r="C1" s="9"/>
      <c r="D1" s="9"/>
      <c r="E1" s="9"/>
      <c r="F1" s="10" t="s">
        <v>147</v>
      </c>
    </row>
    <row r="2" customFormat="false" ht="18" hidden="false" customHeight="true" outlineLevel="0" collapsed="false">
      <c r="A2" s="11" t="s">
        <v>3</v>
      </c>
      <c r="B2" s="12" t="s">
        <v>98</v>
      </c>
      <c r="C2" s="12"/>
      <c r="D2" s="12"/>
      <c r="E2" s="12"/>
      <c r="F2" s="12"/>
    </row>
    <row r="3" customFormat="false" ht="15" hidden="false" customHeight="true" outlineLevel="0" collapsed="false">
      <c r="A3" s="11" t="s">
        <v>4</v>
      </c>
      <c r="B3" s="13" t="str">
        <f aca="false">IFERROR(INDEX(Historias[Título],MATCH($B$2,Historias[Ref],0))&amp;"","")</f>
        <v>Experiencias similares a las guardadas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260</v>
      </c>
      <c r="C11" s="15"/>
      <c r="D11" s="15"/>
      <c r="E11" s="15"/>
      <c r="F11" s="15"/>
    </row>
    <row r="12" customFormat="false" ht="45" hidden="false" customHeight="true" outlineLevel="0" collapsed="false">
      <c r="A12" s="11" t="s">
        <v>153</v>
      </c>
      <c r="B12" s="15" t="s">
        <v>265</v>
      </c>
      <c r="C12" s="15"/>
      <c r="D12" s="15"/>
      <c r="E12" s="15"/>
      <c r="F12" s="15"/>
    </row>
    <row r="13" customFormat="false" ht="45" hidden="false" customHeight="true" outlineLevel="0" collapsed="false">
      <c r="A13" s="11" t="s">
        <v>155</v>
      </c>
      <c r="B13" s="15" t="s">
        <v>266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IF(Obj_CS41[[#This Row],[Descripción]]="","",ROW()-ROW(Obj_CS41[[#Headers],[Objetivo]]))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594">
      <formula>$B4="En progreso"</formula>
    </cfRule>
    <cfRule type="expression" priority="3" aboveAverage="0" equalAverage="0" bottom="0" percent="0" rank="0" text="" dxfId="595">
      <formula>$B4="En espera"</formula>
    </cfRule>
    <cfRule type="expression" priority="4" aboveAverage="0" equalAverage="0" bottom="0" percent="0" rank="0" text="" dxfId="596">
      <formula>$B4="Finalizada"</formula>
    </cfRule>
    <cfRule type="expression" priority="5" aboveAverage="0" equalAverage="0" bottom="0" percent="0" rank="0" text="" dxfId="597">
      <formula>$B4="Sin página"</formula>
    </cfRule>
  </conditionalFormatting>
  <conditionalFormatting sqref="B5">
    <cfRule type="expression" priority="6" aboveAverage="0" equalAverage="0" bottom="0" percent="0" rank="0" text="" dxfId="598">
      <formula>$B5="I"</formula>
    </cfRule>
    <cfRule type="expression" priority="7" aboveAverage="0" equalAverage="0" bottom="0" percent="0" rank="0" text="" dxfId="599">
      <formula>$B5="N"</formula>
    </cfRule>
    <cfRule type="expression" priority="8" aboveAverage="0" equalAverage="0" bottom="0" percent="0" rank="0" text="" dxfId="600">
      <formula>$B5="M"</formula>
    </cfRule>
  </conditionalFormatting>
  <conditionalFormatting sqref="B6">
    <cfRule type="expression" priority="9" aboveAverage="0" equalAverage="0" bottom="0" percent="0" rank="0" text="" dxfId="601">
      <formula>$B6="Bajo"</formula>
    </cfRule>
    <cfRule type="expression" priority="10" aboveAverage="0" equalAverage="0" bottom="0" percent="0" rank="0" text="" dxfId="602">
      <formula>$B6="Medio bajo"</formula>
    </cfRule>
    <cfRule type="expression" priority="11" aboveAverage="0" equalAverage="0" bottom="0" percent="0" rank="0" text="" dxfId="603">
      <formula>$B6="Medio"</formula>
    </cfRule>
    <cfRule type="expression" priority="12" aboveAverage="0" equalAverage="0" bottom="0" percent="0" rank="0" text="" dxfId="604">
      <formula>$B6="Alto"</formula>
    </cfRule>
    <cfRule type="expression" priority="13" aboveAverage="0" equalAverage="0" bottom="0" percent="0" rank="0" text="" dxfId="605">
      <formula>$B6="Muy alto"</formula>
    </cfRule>
  </conditionalFormatting>
  <conditionalFormatting sqref="C17:C316">
    <cfRule type="expression" priority="14" aboveAverage="0" equalAverage="0" bottom="0" percent="0" rank="0" text="" dxfId="606">
      <formula>$C17="Sí"</formula>
    </cfRule>
    <cfRule type="expression" priority="15" aboveAverage="0" equalAverage="0" bottom="0" percent="0" rank="0" text="" dxfId="60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CS-42 · Recomendaciones según mis valoraciones</v>
      </c>
      <c r="B1" s="9"/>
      <c r="C1" s="9"/>
      <c r="D1" s="9"/>
      <c r="E1" s="9"/>
      <c r="F1" s="10" t="s">
        <v>147</v>
      </c>
    </row>
    <row r="2" customFormat="false" ht="18" hidden="false" customHeight="true" outlineLevel="0" collapsed="false">
      <c r="A2" s="11" t="s">
        <v>3</v>
      </c>
      <c r="B2" s="12" t="s">
        <v>100</v>
      </c>
      <c r="C2" s="12"/>
      <c r="D2" s="12"/>
      <c r="E2" s="12"/>
      <c r="F2" s="12"/>
    </row>
    <row r="3" customFormat="false" ht="15" hidden="false" customHeight="true" outlineLevel="0" collapsed="false">
      <c r="A3" s="11" t="s">
        <v>4</v>
      </c>
      <c r="B3" s="13" t="str">
        <f aca="false">IFERROR(INDEX(Historias[Título],MATCH($B$2,Historias[Ref],0))&amp;"","")</f>
        <v>Recomendaciones según mis valoraciones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10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254</v>
      </c>
      <c r="C9" s="15"/>
      <c r="D9" s="15"/>
      <c r="E9" s="15"/>
      <c r="F9" s="15"/>
    </row>
    <row r="10" customFormat="false" ht="15" hidden="false" customHeight="true" outlineLevel="0" collapsed="false">
      <c r="A10" s="11" t="s">
        <v>150</v>
      </c>
      <c r="B10" s="16"/>
      <c r="C10" s="16"/>
      <c r="D10" s="16"/>
      <c r="E10" s="16"/>
      <c r="F10" s="16"/>
    </row>
    <row r="11" customFormat="false" ht="18" hidden="false" customHeight="true" outlineLevel="0" collapsed="false">
      <c r="A11" s="11" t="s">
        <v>151</v>
      </c>
      <c r="B11" s="15" t="s">
        <v>260</v>
      </c>
      <c r="C11" s="15"/>
      <c r="D11" s="15"/>
      <c r="E11" s="15"/>
      <c r="F11" s="15"/>
    </row>
    <row r="12" customFormat="false" ht="45" hidden="false" customHeight="true" outlineLevel="0" collapsed="false">
      <c r="A12" s="11" t="s">
        <v>153</v>
      </c>
      <c r="B12" s="15" t="s">
        <v>267</v>
      </c>
      <c r="C12" s="15"/>
      <c r="D12" s="15"/>
      <c r="E12" s="15"/>
      <c r="F12" s="15"/>
    </row>
    <row r="13" customFormat="false" ht="45" hidden="false" customHeight="true" outlineLevel="0" collapsed="false">
      <c r="A13" s="11" t="s">
        <v>155</v>
      </c>
      <c r="B13" s="15" t="s">
        <v>268</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IF(Obj_CS42[[#This Row],[Descripción]]="","",ROW()-ROW(Obj_CS42[[#Headers],[Objetivo]]))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08">
      <formula>$B4="En progreso"</formula>
    </cfRule>
    <cfRule type="expression" priority="3" aboveAverage="0" equalAverage="0" bottom="0" percent="0" rank="0" text="" dxfId="609">
      <formula>$B4="En espera"</formula>
    </cfRule>
    <cfRule type="expression" priority="4" aboveAverage="0" equalAverage="0" bottom="0" percent="0" rank="0" text="" dxfId="610">
      <formula>$B4="Finalizada"</formula>
    </cfRule>
    <cfRule type="expression" priority="5" aboveAverage="0" equalAverage="0" bottom="0" percent="0" rank="0" text="" dxfId="611">
      <formula>$B4="Sin página"</formula>
    </cfRule>
  </conditionalFormatting>
  <conditionalFormatting sqref="B5">
    <cfRule type="expression" priority="6" aboveAverage="0" equalAverage="0" bottom="0" percent="0" rank="0" text="" dxfId="612">
      <formula>$B5="I"</formula>
    </cfRule>
    <cfRule type="expression" priority="7" aboveAverage="0" equalAverage="0" bottom="0" percent="0" rank="0" text="" dxfId="613">
      <formula>$B5="N"</formula>
    </cfRule>
    <cfRule type="expression" priority="8" aboveAverage="0" equalAverage="0" bottom="0" percent="0" rank="0" text="" dxfId="614">
      <formula>$B5="M"</formula>
    </cfRule>
  </conditionalFormatting>
  <conditionalFormatting sqref="B6">
    <cfRule type="expression" priority="9" aboveAverage="0" equalAverage="0" bottom="0" percent="0" rank="0" text="" dxfId="615">
      <formula>$B6="Bajo"</formula>
    </cfRule>
    <cfRule type="expression" priority="10" aboveAverage="0" equalAverage="0" bottom="0" percent="0" rank="0" text="" dxfId="616">
      <formula>$B6="Medio bajo"</formula>
    </cfRule>
    <cfRule type="expression" priority="11" aboveAverage="0" equalAverage="0" bottom="0" percent="0" rank="0" text="" dxfId="617">
      <formula>$B6="Medio"</formula>
    </cfRule>
    <cfRule type="expression" priority="12" aboveAverage="0" equalAverage="0" bottom="0" percent="0" rank="0" text="" dxfId="618">
      <formula>$B6="Alto"</formula>
    </cfRule>
    <cfRule type="expression" priority="13" aboveAverage="0" equalAverage="0" bottom="0" percent="0" rank="0" text="" dxfId="619">
      <formula>$B6="Muy alto"</formula>
    </cfRule>
  </conditionalFormatting>
  <conditionalFormatting sqref="C17:C316">
    <cfRule type="expression" priority="14" aboveAverage="0" equalAverage="0" bottom="0" percent="0" rank="0" text="" dxfId="620">
      <formula>$C17="Sí"</formula>
    </cfRule>
    <cfRule type="expression" priority="15" aboveAverage="0" equalAverage="0" bottom="0" percent="0" rank="0" text="" dxfId="62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CS-43 · MIS GUARDADOS</v>
      </c>
      <c r="B1" s="9"/>
      <c r="C1" s="9"/>
      <c r="D1" s="9"/>
      <c r="E1" s="9"/>
      <c r="F1" s="10" t="s">
        <v>147</v>
      </c>
    </row>
    <row r="2" customFormat="false" ht="18" hidden="false" customHeight="true" outlineLevel="0" collapsed="false">
      <c r="A2" s="11" t="s">
        <v>3</v>
      </c>
      <c r="B2" s="12" t="s">
        <v>102</v>
      </c>
      <c r="C2" s="12"/>
      <c r="D2" s="12"/>
      <c r="E2" s="12"/>
      <c r="F2" s="12"/>
    </row>
    <row r="3" customFormat="false" ht="15" hidden="false" customHeight="true" outlineLevel="0" collapsed="false">
      <c r="A3" s="11" t="s">
        <v>4</v>
      </c>
      <c r="B3" s="13" t="str">
        <f aca="false">IFERROR(INDEX(Historias[Título],MATCH($B$2,Historias[Ref],0))&amp;"","")</f>
        <v>MIS GUARDADOS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270</v>
      </c>
      <c r="C12" s="15"/>
      <c r="D12" s="15"/>
      <c r="E12" s="15"/>
      <c r="F12" s="15"/>
    </row>
    <row r="13" customFormat="false" ht="93" hidden="false" customHeight="true" outlineLevel="0" collapsed="false">
      <c r="A13" s="11" t="s">
        <v>155</v>
      </c>
      <c r="B13" s="15" t="s">
        <v>271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IF(Obj_CS43[[#This Row],[Descripción]]="","",ROW()-ROW(Obj_CS43[[#Headers],[Objetivo]]))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22">
      <formula>$B4="En progreso"</formula>
    </cfRule>
    <cfRule type="expression" priority="3" aboveAverage="0" equalAverage="0" bottom="0" percent="0" rank="0" text="" dxfId="623">
      <formula>$B4="En espera"</formula>
    </cfRule>
    <cfRule type="expression" priority="4" aboveAverage="0" equalAverage="0" bottom="0" percent="0" rank="0" text="" dxfId="624">
      <formula>$B4="Finalizada"</formula>
    </cfRule>
    <cfRule type="expression" priority="5" aboveAverage="0" equalAverage="0" bottom="0" percent="0" rank="0" text="" dxfId="625">
      <formula>$B4="Sin página"</formula>
    </cfRule>
  </conditionalFormatting>
  <conditionalFormatting sqref="B5">
    <cfRule type="expression" priority="6" aboveAverage="0" equalAverage="0" bottom="0" percent="0" rank="0" text="" dxfId="626">
      <formula>$B5="I"</formula>
    </cfRule>
    <cfRule type="expression" priority="7" aboveAverage="0" equalAverage="0" bottom="0" percent="0" rank="0" text="" dxfId="627">
      <formula>$B5="N"</formula>
    </cfRule>
    <cfRule type="expression" priority="8" aboveAverage="0" equalAverage="0" bottom="0" percent="0" rank="0" text="" dxfId="628">
      <formula>$B5="M"</formula>
    </cfRule>
  </conditionalFormatting>
  <conditionalFormatting sqref="B6">
    <cfRule type="expression" priority="9" aboveAverage="0" equalAverage="0" bottom="0" percent="0" rank="0" text="" dxfId="629">
      <formula>$B6="Bajo"</formula>
    </cfRule>
    <cfRule type="expression" priority="10" aboveAverage="0" equalAverage="0" bottom="0" percent="0" rank="0" text="" dxfId="630">
      <formula>$B6="Medio bajo"</formula>
    </cfRule>
    <cfRule type="expression" priority="11" aboveAverage="0" equalAverage="0" bottom="0" percent="0" rank="0" text="" dxfId="631">
      <formula>$B6="Medio"</formula>
    </cfRule>
    <cfRule type="expression" priority="12" aboveAverage="0" equalAverage="0" bottom="0" percent="0" rank="0" text="" dxfId="632">
      <formula>$B6="Alto"</formula>
    </cfRule>
    <cfRule type="expression" priority="13" aboveAverage="0" equalAverage="0" bottom="0" percent="0" rank="0" text="" dxfId="633">
      <formula>$B6="Muy alto"</formula>
    </cfRule>
  </conditionalFormatting>
  <conditionalFormatting sqref="C17:C316">
    <cfRule type="expression" priority="14" aboveAverage="0" equalAverage="0" bottom="0" percent="0" rank="0" text="" dxfId="634">
      <formula>$C17="Sí"</formula>
    </cfRule>
    <cfRule type="expression" priority="15" aboveAverage="0" equalAverage="0" bottom="0" percent="0" rank="0" text="" dxfId="63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CS-44 · MIS EXPERIENCIAS PUBLICADAS EN EL PERFIL</v>
      </c>
      <c r="B1" s="9"/>
      <c r="C1" s="9"/>
      <c r="D1" s="9"/>
      <c r="E1" s="9"/>
      <c r="F1" s="10" t="s">
        <v>147</v>
      </c>
    </row>
    <row r="2" customFormat="false" ht="18" hidden="false" customHeight="true" outlineLevel="0" collapsed="false">
      <c r="A2" s="11" t="s">
        <v>3</v>
      </c>
      <c r="B2" s="12" t="s">
        <v>104</v>
      </c>
      <c r="C2" s="12"/>
      <c r="D2" s="12"/>
      <c r="E2" s="12"/>
      <c r="F2" s="12"/>
    </row>
    <row r="3" customFormat="false" ht="15" hidden="false" customHeight="true" outlineLevel="0" collapsed="false">
      <c r="A3" s="11" t="s">
        <v>4</v>
      </c>
      <c r="B3" s="13" t="str">
        <f aca="false">IFERROR(INDEX(Historias[Título],MATCH($B$2,Historias[Ref],0))&amp;"","")</f>
        <v>MIS EXPERIENCIAS PUBLICADAS EN EL PERFIL</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272</v>
      </c>
      <c r="C12" s="15"/>
      <c r="D12" s="15"/>
      <c r="E12" s="15"/>
      <c r="F12" s="15"/>
    </row>
    <row r="13" customFormat="false" ht="78" hidden="false" customHeight="true" outlineLevel="0" collapsed="false">
      <c r="A13" s="11" t="s">
        <v>155</v>
      </c>
      <c r="B13" s="15" t="s">
        <v>273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IF(Obj_CS44[[#This Row],[Descripción]]="","",ROW()-ROW(Obj_CS44[[#Headers],[Objetivo]]))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36">
      <formula>$B4="En progreso"</formula>
    </cfRule>
    <cfRule type="expression" priority="3" aboveAverage="0" equalAverage="0" bottom="0" percent="0" rank="0" text="" dxfId="637">
      <formula>$B4="En espera"</formula>
    </cfRule>
    <cfRule type="expression" priority="4" aboveAverage="0" equalAverage="0" bottom="0" percent="0" rank="0" text="" dxfId="638">
      <formula>$B4="Finalizada"</formula>
    </cfRule>
    <cfRule type="expression" priority="5" aboveAverage="0" equalAverage="0" bottom="0" percent="0" rank="0" text="" dxfId="639">
      <formula>$B4="Sin página"</formula>
    </cfRule>
  </conditionalFormatting>
  <conditionalFormatting sqref="B5">
    <cfRule type="expression" priority="6" aboveAverage="0" equalAverage="0" bottom="0" percent="0" rank="0" text="" dxfId="640">
      <formula>$B5="I"</formula>
    </cfRule>
    <cfRule type="expression" priority="7" aboveAverage="0" equalAverage="0" bottom="0" percent="0" rank="0" text="" dxfId="641">
      <formula>$B5="N"</formula>
    </cfRule>
    <cfRule type="expression" priority="8" aboveAverage="0" equalAverage="0" bottom="0" percent="0" rank="0" text="" dxfId="642">
      <formula>$B5="M"</formula>
    </cfRule>
  </conditionalFormatting>
  <conditionalFormatting sqref="B6">
    <cfRule type="expression" priority="9" aboveAverage="0" equalAverage="0" bottom="0" percent="0" rank="0" text="" dxfId="643">
      <formula>$B6="Bajo"</formula>
    </cfRule>
    <cfRule type="expression" priority="10" aboveAverage="0" equalAverage="0" bottom="0" percent="0" rank="0" text="" dxfId="644">
      <formula>$B6="Medio bajo"</formula>
    </cfRule>
    <cfRule type="expression" priority="11" aboveAverage="0" equalAverage="0" bottom="0" percent="0" rank="0" text="" dxfId="645">
      <formula>$B6="Medio"</formula>
    </cfRule>
    <cfRule type="expression" priority="12" aboveAverage="0" equalAverage="0" bottom="0" percent="0" rank="0" text="" dxfId="646">
      <formula>$B6="Alto"</formula>
    </cfRule>
    <cfRule type="expression" priority="13" aboveAverage="0" equalAverage="0" bottom="0" percent="0" rank="0" text="" dxfId="647">
      <formula>$B6="Muy alto"</formula>
    </cfRule>
  </conditionalFormatting>
  <conditionalFormatting sqref="C17:C316">
    <cfRule type="expression" priority="14" aboveAverage="0" equalAverage="0" bottom="0" percent="0" rank="0" text="" dxfId="648">
      <formula>$C17="Sí"</formula>
    </cfRule>
    <cfRule type="expression" priority="15" aboveAverage="0" equalAverage="0" bottom="0" percent="0" rank="0" text="" dxfId="64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CS-45 · MI NÚMERO DE AMIGOS Y SEGUIDORES</v>
      </c>
      <c r="B1" s="9"/>
      <c r="C1" s="9"/>
      <c r="D1" s="9"/>
      <c r="E1" s="9"/>
      <c r="F1" s="10" t="s">
        <v>147</v>
      </c>
    </row>
    <row r="2" customFormat="false" ht="18" hidden="false" customHeight="true" outlineLevel="0" collapsed="false">
      <c r="A2" s="11" t="s">
        <v>3</v>
      </c>
      <c r="B2" s="12" t="s">
        <v>106</v>
      </c>
      <c r="C2" s="12"/>
      <c r="D2" s="12"/>
      <c r="E2" s="12"/>
      <c r="F2" s="12"/>
    </row>
    <row r="3" customFormat="false" ht="15" hidden="false" customHeight="true" outlineLevel="0" collapsed="false">
      <c r="A3" s="11" t="s">
        <v>4</v>
      </c>
      <c r="B3" s="13" t="str">
        <f aca="false">IFERROR(INDEX(Historias[Título],MATCH($B$2,Historias[Ref],0))&amp;"","")</f>
        <v>MI NÚMERO DE AMIGOS Y SEGUIDORES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274</v>
      </c>
      <c r="C12" s="15"/>
      <c r="D12" s="15"/>
      <c r="E12" s="15"/>
      <c r="F12" s="15"/>
    </row>
    <row r="13" customFormat="false" ht="78" hidden="false" customHeight="true" outlineLevel="0" collapsed="false">
      <c r="A13" s="11" t="s">
        <v>155</v>
      </c>
      <c r="B13" s="15" t="s">
        <v>275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IF(Obj_CS45[[#This Row],[Descripción]]="","",ROW()-ROW(Obj_CS45[[#Headers],[Objetivo]]))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50">
      <formula>$B4="En progreso"</formula>
    </cfRule>
    <cfRule type="expression" priority="3" aboveAverage="0" equalAverage="0" bottom="0" percent="0" rank="0" text="" dxfId="651">
      <formula>$B4="En espera"</formula>
    </cfRule>
    <cfRule type="expression" priority="4" aboveAverage="0" equalAverage="0" bottom="0" percent="0" rank="0" text="" dxfId="652">
      <formula>$B4="Finalizada"</formula>
    </cfRule>
    <cfRule type="expression" priority="5" aboveAverage="0" equalAverage="0" bottom="0" percent="0" rank="0" text="" dxfId="653">
      <formula>$B4="Sin página"</formula>
    </cfRule>
  </conditionalFormatting>
  <conditionalFormatting sqref="B5">
    <cfRule type="expression" priority="6" aboveAverage="0" equalAverage="0" bottom="0" percent="0" rank="0" text="" dxfId="654">
      <formula>$B5="I"</formula>
    </cfRule>
    <cfRule type="expression" priority="7" aboveAverage="0" equalAverage="0" bottom="0" percent="0" rank="0" text="" dxfId="655">
      <formula>$B5="N"</formula>
    </cfRule>
    <cfRule type="expression" priority="8" aboveAverage="0" equalAverage="0" bottom="0" percent="0" rank="0" text="" dxfId="656">
      <formula>$B5="M"</formula>
    </cfRule>
  </conditionalFormatting>
  <conditionalFormatting sqref="B6">
    <cfRule type="expression" priority="9" aboveAverage="0" equalAverage="0" bottom="0" percent="0" rank="0" text="" dxfId="657">
      <formula>$B6="Bajo"</formula>
    </cfRule>
    <cfRule type="expression" priority="10" aboveAverage="0" equalAverage="0" bottom="0" percent="0" rank="0" text="" dxfId="658">
      <formula>$B6="Medio bajo"</formula>
    </cfRule>
    <cfRule type="expression" priority="11" aboveAverage="0" equalAverage="0" bottom="0" percent="0" rank="0" text="" dxfId="659">
      <formula>$B6="Medio"</formula>
    </cfRule>
    <cfRule type="expression" priority="12" aboveAverage="0" equalAverage="0" bottom="0" percent="0" rank="0" text="" dxfId="660">
      <formula>$B6="Alto"</formula>
    </cfRule>
    <cfRule type="expression" priority="13" aboveAverage="0" equalAverage="0" bottom="0" percent="0" rank="0" text="" dxfId="661">
      <formula>$B6="Muy alto"</formula>
    </cfRule>
  </conditionalFormatting>
  <conditionalFormatting sqref="C17:C316">
    <cfRule type="expression" priority="14" aboveAverage="0" equalAverage="0" bottom="0" percent="0" rank="0" text="" dxfId="662">
      <formula>$C17="Sí"</formula>
    </cfRule>
    <cfRule type="expression" priority="15" aboveAverage="0" equalAverage="0" bottom="0" percent="0" rank="0" text="" dxfId="66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CS-46 · MIS CIUDADES</v>
      </c>
      <c r="B1" s="9"/>
      <c r="C1" s="9"/>
      <c r="D1" s="9"/>
      <c r="E1" s="9"/>
      <c r="F1" s="10" t="s">
        <v>147</v>
      </c>
    </row>
    <row r="2" customFormat="false" ht="18" hidden="false" customHeight="true" outlineLevel="0" collapsed="false">
      <c r="A2" s="11" t="s">
        <v>3</v>
      </c>
      <c r="B2" s="12" t="s">
        <v>108</v>
      </c>
      <c r="C2" s="12"/>
      <c r="D2" s="12"/>
      <c r="E2" s="12"/>
      <c r="F2" s="12"/>
    </row>
    <row r="3" customFormat="false" ht="15" hidden="false" customHeight="true" outlineLevel="0" collapsed="false">
      <c r="A3" s="11" t="s">
        <v>4</v>
      </c>
      <c r="B3" s="13" t="str">
        <f aca="false">IFERROR(INDEX(Historias[Título],MATCH($B$2,Historias[Ref],0))&amp;"","")</f>
        <v>MIS CIUDADES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276</v>
      </c>
      <c r="C12" s="15"/>
      <c r="D12" s="15"/>
      <c r="E12" s="15"/>
      <c r="F12" s="15"/>
    </row>
    <row r="13" customFormat="false" ht="78" hidden="false" customHeight="true" outlineLevel="0" collapsed="false">
      <c r="A13" s="11" t="s">
        <v>155</v>
      </c>
      <c r="B13" s="15" t="s">
        <v>277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IF(Obj_CS46[[#This Row],[Descripción]]="","",ROW()-ROW(Obj_CS46[[#Headers],[Objetivo]]))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64">
      <formula>$B4="En progreso"</formula>
    </cfRule>
    <cfRule type="expression" priority="3" aboveAverage="0" equalAverage="0" bottom="0" percent="0" rank="0" text="" dxfId="665">
      <formula>$B4="En espera"</formula>
    </cfRule>
    <cfRule type="expression" priority="4" aboveAverage="0" equalAverage="0" bottom="0" percent="0" rank="0" text="" dxfId="666">
      <formula>$B4="Finalizada"</formula>
    </cfRule>
    <cfRule type="expression" priority="5" aboveAverage="0" equalAverage="0" bottom="0" percent="0" rank="0" text="" dxfId="667">
      <formula>$B4="Sin página"</formula>
    </cfRule>
  </conditionalFormatting>
  <conditionalFormatting sqref="B5">
    <cfRule type="expression" priority="6" aboveAverage="0" equalAverage="0" bottom="0" percent="0" rank="0" text="" dxfId="668">
      <formula>$B5="I"</formula>
    </cfRule>
    <cfRule type="expression" priority="7" aboveAverage="0" equalAverage="0" bottom="0" percent="0" rank="0" text="" dxfId="669">
      <formula>$B5="N"</formula>
    </cfRule>
    <cfRule type="expression" priority="8" aboveAverage="0" equalAverage="0" bottom="0" percent="0" rank="0" text="" dxfId="670">
      <formula>$B5="M"</formula>
    </cfRule>
  </conditionalFormatting>
  <conditionalFormatting sqref="B6">
    <cfRule type="expression" priority="9" aboveAverage="0" equalAverage="0" bottom="0" percent="0" rank="0" text="" dxfId="671">
      <formula>$B6="Bajo"</formula>
    </cfRule>
    <cfRule type="expression" priority="10" aboveAverage="0" equalAverage="0" bottom="0" percent="0" rank="0" text="" dxfId="672">
      <formula>$B6="Medio bajo"</formula>
    </cfRule>
    <cfRule type="expression" priority="11" aboveAverage="0" equalAverage="0" bottom="0" percent="0" rank="0" text="" dxfId="673">
      <formula>$B6="Medio"</formula>
    </cfRule>
    <cfRule type="expression" priority="12" aboveAverage="0" equalAverage="0" bottom="0" percent="0" rank="0" text="" dxfId="674">
      <formula>$B6="Alto"</formula>
    </cfRule>
    <cfRule type="expression" priority="13" aboveAverage="0" equalAverage="0" bottom="0" percent="0" rank="0" text="" dxfId="675">
      <formula>$B6="Muy alto"</formula>
    </cfRule>
  </conditionalFormatting>
  <conditionalFormatting sqref="C17:C316">
    <cfRule type="expression" priority="14" aboveAverage="0" equalAverage="0" bottom="0" percent="0" rank="0" text="" dxfId="676">
      <formula>$C17="Sí"</formula>
    </cfRule>
    <cfRule type="expression" priority="15" aboveAverage="0" equalAverage="0" bottom="0" percent="0" rank="0" text="" dxfId="67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CS-47 · CREAR MI PERFIL</v>
      </c>
      <c r="B1" s="9"/>
      <c r="C1" s="9"/>
      <c r="D1" s="9"/>
      <c r="E1" s="9"/>
      <c r="F1" s="10" t="s">
        <v>147</v>
      </c>
    </row>
    <row r="2" customFormat="false" ht="18" hidden="false" customHeight="true" outlineLevel="0" collapsed="false">
      <c r="A2" s="11" t="s">
        <v>3</v>
      </c>
      <c r="B2" s="12" t="s">
        <v>110</v>
      </c>
      <c r="C2" s="12"/>
      <c r="D2" s="12"/>
      <c r="E2" s="12"/>
      <c r="F2" s="12"/>
    </row>
    <row r="3" customFormat="false" ht="15" hidden="false" customHeight="true" outlineLevel="0" collapsed="false">
      <c r="A3" s="11" t="s">
        <v>4</v>
      </c>
      <c r="B3" s="13" t="str">
        <f aca="false">IFERROR(INDEX(Historias[Título],MATCH($B$2,Historias[Ref],0))&amp;"","")</f>
        <v>CREAR MI PERFIL</v>
      </c>
      <c r="C3" s="13"/>
      <c r="D3" s="13"/>
      <c r="E3" s="13"/>
      <c r="F3" s="13"/>
    </row>
    <row r="4" customFormat="false" ht="15" hidden="false" customHeight="true" outlineLevel="0" collapsed="false">
      <c r="A4" s="11" t="s">
        <v>9</v>
      </c>
      <c r="B4" s="13" t="str">
        <f aca="false">IFERROR(INDEX(Historias[Estado],MATCH($B$2,Historias[Ref],0))&amp;"","")</f>
        <v>Finalizada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4</v>
      </c>
      <c r="C7" s="14"/>
      <c r="D7" s="14"/>
      <c r="E7" s="14"/>
      <c r="F7" s="14"/>
    </row>
    <row r="8" customFormat="false" ht="15" hidden="false" customHeight="true" outlineLevel="0" collapsed="false">
      <c r="A8" s="11" t="s">
        <v>8</v>
      </c>
      <c r="B8" s="14" t="n">
        <f aca="false">SUM(F:F)/60</f>
        <v>3.46666666666667</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63" hidden="false" customHeight="true" outlineLevel="0" collapsed="false">
      <c r="A12" s="11" t="s">
        <v>153</v>
      </c>
      <c r="B12" s="15" t="s">
        <v>278</v>
      </c>
      <c r="C12" s="15"/>
      <c r="D12" s="15"/>
      <c r="E12" s="15"/>
      <c r="F12" s="15"/>
    </row>
    <row r="13" customFormat="false" ht="93" hidden="false" customHeight="true" outlineLevel="0" collapsed="false">
      <c r="A13" s="11" t="s">
        <v>155</v>
      </c>
      <c r="B13" s="15" t="s">
        <v>279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8" hidden="false" customHeight="true" outlineLevel="0" collapsed="false">
      <c r="A17" s="20" t="n">
        <f aca="false">IF(Obj_CS47[[#This Row],[Descripción]]="","",ROW()-ROW(Obj_CS47[[#Headers],[Objetivo]]))</f>
        <v>1</v>
      </c>
      <c r="B17" s="21" t="s">
        <v>280</v>
      </c>
      <c r="C17" s="6" t="s">
        <v>281</v>
      </c>
      <c r="D17" s="6"/>
      <c r="E17" s="22"/>
      <c r="F17" s="22" t="n">
        <v>30</v>
      </c>
    </row>
    <row r="18" customFormat="false" ht="33" hidden="false" customHeight="true" outlineLevel="0" collapsed="false">
      <c r="A18" s="20" t="n">
        <f aca="false">IF(Obj_CS47[[#This Row],[Descripción]]="","",ROW()-ROW(Obj_CS47[[#Headers],[Objetivo]]))</f>
        <v>2</v>
      </c>
      <c r="B18" s="21" t="s">
        <v>282</v>
      </c>
      <c r="C18" s="6" t="s">
        <v>281</v>
      </c>
      <c r="D18" s="6"/>
      <c r="E18" s="22"/>
      <c r="F18" s="22" t="n">
        <v>20</v>
      </c>
    </row>
    <row r="19" customFormat="false" ht="18" hidden="false" customHeight="true" outlineLevel="0" collapsed="false">
      <c r="A19" s="20" t="n">
        <f aca="false">IF(Obj_CS47[[#This Row],[Descripción]]="","",ROW()-ROW(Obj_CS47[[#Headers],[Objetivo]]))</f>
        <v>3</v>
      </c>
      <c r="B19" s="21" t="s">
        <v>283</v>
      </c>
      <c r="C19" s="6" t="s">
        <v>281</v>
      </c>
      <c r="D19" s="6"/>
      <c r="E19" s="22"/>
      <c r="F19" s="22" t="n">
        <v>10</v>
      </c>
    </row>
    <row r="20" customFormat="false" ht="33" hidden="false" customHeight="true" outlineLevel="0" collapsed="false">
      <c r="A20" s="20" t="n">
        <f aca="false">IF(Obj_CS47[[#This Row],[Descripción]]="","",ROW()-ROW(Obj_CS47[[#Headers],[Objetivo]]))</f>
        <v>4</v>
      </c>
      <c r="B20" s="21" t="s">
        <v>284</v>
      </c>
      <c r="C20" s="6" t="s">
        <v>281</v>
      </c>
      <c r="D20" s="6"/>
      <c r="E20" s="22"/>
      <c r="F20" s="22" t="n">
        <v>30</v>
      </c>
    </row>
    <row r="21" customFormat="false" ht="33" hidden="false" customHeight="true" outlineLevel="0" collapsed="false">
      <c r="A21" s="20" t="n">
        <f aca="false">IF(Obj_CS47[[#This Row],[Descripción]]="","",ROW()-ROW(Obj_CS47[[#Headers],[Objetivo]]))</f>
        <v>5</v>
      </c>
      <c r="B21" s="21" t="s">
        <v>285</v>
      </c>
      <c r="C21" s="6" t="s">
        <v>281</v>
      </c>
      <c r="D21" s="6"/>
      <c r="E21" s="22"/>
      <c r="F21" s="22" t="n">
        <v>30</v>
      </c>
    </row>
    <row r="22" customFormat="false" ht="18" hidden="false" customHeight="true" outlineLevel="0" collapsed="false">
      <c r="A22" s="20" t="n">
        <f aca="false">IF(Obj_CS47[[#This Row],[Descripción]]="","",ROW()-ROW(Obj_CS47[[#Headers],[Objetivo]]))</f>
        <v>6</v>
      </c>
      <c r="B22" s="21" t="s">
        <v>286</v>
      </c>
      <c r="C22" s="6" t="s">
        <v>281</v>
      </c>
      <c r="D22" s="6"/>
      <c r="E22" s="22"/>
      <c r="F22" s="22" t="n">
        <v>20</v>
      </c>
    </row>
    <row r="23" customFormat="false" ht="18" hidden="false" customHeight="true" outlineLevel="0" collapsed="false">
      <c r="A23" s="20" t="n">
        <f aca="false">IF(Obj_CS47[[#This Row],[Descripción]]="","",ROW()-ROW(Obj_CS47[[#Headers],[Objetivo]]))</f>
        <v>7</v>
      </c>
      <c r="B23" s="21" t="s">
        <v>287</v>
      </c>
      <c r="C23" s="6" t="s">
        <v>281</v>
      </c>
      <c r="D23" s="6"/>
      <c r="E23" s="22"/>
      <c r="F23" s="22" t="n">
        <v>35</v>
      </c>
    </row>
    <row r="24" customFormat="false" ht="18" hidden="false" customHeight="true" outlineLevel="0" collapsed="false">
      <c r="A24" s="20" t="n">
        <f aca="false">IF(Obj_CS47[[#This Row],[Descripción]]="","",ROW()-ROW(Obj_CS47[[#Headers],[Objetivo]]))</f>
        <v>8</v>
      </c>
      <c r="B24" s="21" t="s">
        <v>288</v>
      </c>
      <c r="C24" s="6" t="s">
        <v>281</v>
      </c>
      <c r="D24" s="6"/>
      <c r="E24" s="22"/>
      <c r="F24" s="22" t="n">
        <v>8</v>
      </c>
    </row>
    <row r="25" customFormat="false" ht="18" hidden="false" customHeight="true" outlineLevel="0" collapsed="false">
      <c r="A25" s="20" t="n">
        <f aca="false">IF(Obj_CS47[[#This Row],[Descripción]]="","",ROW()-ROW(Obj_CS47[[#Headers],[Objetivo]]))</f>
        <v>9</v>
      </c>
      <c r="B25" s="21" t="s">
        <v>289</v>
      </c>
      <c r="C25" s="6" t="s">
        <v>281</v>
      </c>
      <c r="D25" s="6"/>
      <c r="E25" s="22"/>
      <c r="F25" s="22" t="n">
        <v>15</v>
      </c>
    </row>
    <row r="26" customFormat="false" ht="33" hidden="false" customHeight="true" outlineLevel="0" collapsed="false">
      <c r="A26" s="20" t="n">
        <f aca="false">IF(Obj_CS47[[#This Row],[Descripción]]="","",ROW()-ROW(Obj_CS47[[#Headers],[Objetivo]]))</f>
        <v>10</v>
      </c>
      <c r="B26" s="21" t="s">
        <v>290</v>
      </c>
      <c r="C26" s="6" t="s">
        <v>281</v>
      </c>
      <c r="D26" s="6"/>
      <c r="E26" s="22" t="n">
        <v>5</v>
      </c>
      <c r="F26" s="22"/>
    </row>
    <row r="27" customFormat="false" ht="18" hidden="false" customHeight="true" outlineLevel="0" collapsed="false">
      <c r="A27" s="20" t="n">
        <f aca="false">IF(Obj_CS47[[#This Row],[Descripción]]="","",ROW()-ROW(Obj_CS47[[#Headers],[Objetivo]]))</f>
        <v>11</v>
      </c>
      <c r="B27" s="21" t="s">
        <v>291</v>
      </c>
      <c r="C27" s="6" t="s">
        <v>281</v>
      </c>
      <c r="D27" s="6"/>
      <c r="E27" s="22"/>
      <c r="F27" s="22" t="n">
        <v>10</v>
      </c>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78">
      <formula>$B4="En progreso"</formula>
    </cfRule>
    <cfRule type="expression" priority="3" aboveAverage="0" equalAverage="0" bottom="0" percent="0" rank="0" text="" dxfId="679">
      <formula>$B4="En espera"</formula>
    </cfRule>
    <cfRule type="expression" priority="4" aboveAverage="0" equalAverage="0" bottom="0" percent="0" rank="0" text="" dxfId="680">
      <formula>$B4="Finalizada"</formula>
    </cfRule>
    <cfRule type="expression" priority="5" aboveAverage="0" equalAverage="0" bottom="0" percent="0" rank="0" text="" dxfId="681">
      <formula>$B4="Sin página"</formula>
    </cfRule>
  </conditionalFormatting>
  <conditionalFormatting sqref="B5">
    <cfRule type="expression" priority="6" aboveAverage="0" equalAverage="0" bottom="0" percent="0" rank="0" text="" dxfId="682">
      <formula>$B5="I"</formula>
    </cfRule>
    <cfRule type="expression" priority="7" aboveAverage="0" equalAverage="0" bottom="0" percent="0" rank="0" text="" dxfId="683">
      <formula>$B5="N"</formula>
    </cfRule>
    <cfRule type="expression" priority="8" aboveAverage="0" equalAverage="0" bottom="0" percent="0" rank="0" text="" dxfId="684">
      <formula>$B5="M"</formula>
    </cfRule>
  </conditionalFormatting>
  <conditionalFormatting sqref="B6">
    <cfRule type="expression" priority="9" aboveAverage="0" equalAverage="0" bottom="0" percent="0" rank="0" text="" dxfId="685">
      <formula>$B6="Bajo"</formula>
    </cfRule>
    <cfRule type="expression" priority="10" aboveAverage="0" equalAverage="0" bottom="0" percent="0" rank="0" text="" dxfId="686">
      <formula>$B6="Medio bajo"</formula>
    </cfRule>
    <cfRule type="expression" priority="11" aboveAverage="0" equalAverage="0" bottom="0" percent="0" rank="0" text="" dxfId="687">
      <formula>$B6="Medio"</formula>
    </cfRule>
    <cfRule type="expression" priority="12" aboveAverage="0" equalAverage="0" bottom="0" percent="0" rank="0" text="" dxfId="688">
      <formula>$B6="Alto"</formula>
    </cfRule>
    <cfRule type="expression" priority="13" aboveAverage="0" equalAverage="0" bottom="0" percent="0" rank="0" text="" dxfId="689">
      <formula>$B6="Muy alto"</formula>
    </cfRule>
  </conditionalFormatting>
  <conditionalFormatting sqref="C17:C316">
    <cfRule type="expression" priority="14" aboveAverage="0" equalAverage="0" bottom="0" percent="0" rank="0" text="" dxfId="690">
      <formula>$C17="Sí"</formula>
    </cfRule>
    <cfRule type="expression" priority="15" aboveAverage="0" equalAverage="0" bottom="0" percent="0" rank="0" text="" dxfId="69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CS-48 · VALORACIONES DE MIS AMIGOS Y SEGUIDORES</v>
      </c>
      <c r="B1" s="9"/>
      <c r="C1" s="9"/>
      <c r="D1" s="9"/>
      <c r="E1" s="9"/>
      <c r="F1" s="10" t="s">
        <v>147</v>
      </c>
    </row>
    <row r="2" customFormat="false" ht="18" hidden="false" customHeight="true" outlineLevel="0" collapsed="false">
      <c r="A2" s="11" t="s">
        <v>3</v>
      </c>
      <c r="B2" s="12" t="s">
        <v>112</v>
      </c>
      <c r="C2" s="12"/>
      <c r="D2" s="12"/>
      <c r="E2" s="12"/>
      <c r="F2" s="12"/>
    </row>
    <row r="3" customFormat="false" ht="15" hidden="false" customHeight="true" outlineLevel="0" collapsed="false">
      <c r="A3" s="11" t="s">
        <v>4</v>
      </c>
      <c r="B3" s="13" t="str">
        <f aca="false">IFERROR(INDEX(Historias[Título],MATCH($B$2,Historias[Ref],0))&amp;"","")</f>
        <v>VALORACIONES DE MIS AMIGOS Y SEGUIDORES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269</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292</v>
      </c>
      <c r="C12" s="15"/>
      <c r="D12" s="15"/>
      <c r="E12" s="15"/>
      <c r="F12" s="15"/>
    </row>
    <row r="13" customFormat="false" ht="93" hidden="false" customHeight="true" outlineLevel="0" collapsed="false">
      <c r="A13" s="11" t="s">
        <v>155</v>
      </c>
      <c r="B13" s="15" t="s">
        <v>293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IF(Obj_CS48[[#This Row],[Descripción]]="","",ROW()-ROW(Obj_CS48[[#Headers],[Objetivo]]))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692">
      <formula>$B4="En progreso"</formula>
    </cfRule>
    <cfRule type="expression" priority="3" aboveAverage="0" equalAverage="0" bottom="0" percent="0" rank="0" text="" dxfId="693">
      <formula>$B4="En espera"</formula>
    </cfRule>
    <cfRule type="expression" priority="4" aboveAverage="0" equalAverage="0" bottom="0" percent="0" rank="0" text="" dxfId="694">
      <formula>$B4="Finalizada"</formula>
    </cfRule>
    <cfRule type="expression" priority="5" aboveAverage="0" equalAverage="0" bottom="0" percent="0" rank="0" text="" dxfId="695">
      <formula>$B4="Sin página"</formula>
    </cfRule>
  </conditionalFormatting>
  <conditionalFormatting sqref="B5">
    <cfRule type="expression" priority="6" aboveAverage="0" equalAverage="0" bottom="0" percent="0" rank="0" text="" dxfId="696">
      <formula>$B5="I"</formula>
    </cfRule>
    <cfRule type="expression" priority="7" aboveAverage="0" equalAverage="0" bottom="0" percent="0" rank="0" text="" dxfId="697">
      <formula>$B5="N"</formula>
    </cfRule>
    <cfRule type="expression" priority="8" aboveAverage="0" equalAverage="0" bottom="0" percent="0" rank="0" text="" dxfId="698">
      <formula>$B5="M"</formula>
    </cfRule>
  </conditionalFormatting>
  <conditionalFormatting sqref="B6">
    <cfRule type="expression" priority="9" aboveAverage="0" equalAverage="0" bottom="0" percent="0" rank="0" text="" dxfId="699">
      <formula>$B6="Bajo"</formula>
    </cfRule>
    <cfRule type="expression" priority="10" aboveAverage="0" equalAverage="0" bottom="0" percent="0" rank="0" text="" dxfId="700">
      <formula>$B6="Medio bajo"</formula>
    </cfRule>
    <cfRule type="expression" priority="11" aboveAverage="0" equalAverage="0" bottom="0" percent="0" rank="0" text="" dxfId="701">
      <formula>$B6="Medio"</formula>
    </cfRule>
    <cfRule type="expression" priority="12" aboveAverage="0" equalAverage="0" bottom="0" percent="0" rank="0" text="" dxfId="702">
      <formula>$B6="Alto"</formula>
    </cfRule>
    <cfRule type="expression" priority="13" aboveAverage="0" equalAverage="0" bottom="0" percent="0" rank="0" text="" dxfId="703">
      <formula>$B6="Muy alto"</formula>
    </cfRule>
  </conditionalFormatting>
  <conditionalFormatting sqref="C17:C316">
    <cfRule type="expression" priority="14" aboveAverage="0" equalAverage="0" bottom="0" percent="0" rank="0" text="" dxfId="704">
      <formula>$C17="Sí"</formula>
    </cfRule>
    <cfRule type="expression" priority="15" aboveAverage="0" equalAverage="0" bottom="0" percent="0" rank="0" text="" dxfId="70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CS-49 · CREACIÓN DE EXPERIENCIAS</v>
      </c>
      <c r="B1" s="9"/>
      <c r="C1" s="9"/>
      <c r="D1" s="9"/>
      <c r="E1" s="9"/>
      <c r="F1" s="10" t="s">
        <v>147</v>
      </c>
    </row>
    <row r="2" customFormat="false" ht="18" hidden="false" customHeight="true" outlineLevel="0" collapsed="false">
      <c r="A2" s="11" t="s">
        <v>3</v>
      </c>
      <c r="B2" s="12" t="s">
        <v>114</v>
      </c>
      <c r="C2" s="12"/>
      <c r="D2" s="12"/>
      <c r="E2" s="12"/>
      <c r="F2" s="12"/>
    </row>
    <row r="3" customFormat="false" ht="15" hidden="false" customHeight="true" outlineLevel="0" collapsed="false">
      <c r="A3" s="11" t="s">
        <v>4</v>
      </c>
      <c r="B3" s="13" t="str">
        <f aca="false">IFERROR(INDEX(Historias[Título],MATCH($B$2,Historias[Ref],0))&amp;"","")</f>
        <v>CREACIÓN DE EXPERIENCIAS</v>
      </c>
      <c r="C3" s="13"/>
      <c r="D3" s="13"/>
      <c r="E3" s="13"/>
      <c r="F3" s="13"/>
    </row>
    <row r="4" customFormat="false" ht="15" hidden="false" customHeight="true" outlineLevel="0" collapsed="false">
      <c r="A4" s="11" t="s">
        <v>9</v>
      </c>
      <c r="B4" s="13" t="str">
        <f aca="false">IFERROR(INDEX(Historias[Estado],MATCH($B$2,Historias[Ref],0))&amp;"","")</f>
        <v>Finalizada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Medio bajo</v>
      </c>
      <c r="C6" s="13"/>
      <c r="D6" s="13"/>
      <c r="E6" s="13"/>
      <c r="F6" s="13"/>
    </row>
    <row r="7" customFormat="false" ht="15" hidden="false" customHeight="true" outlineLevel="0" collapsed="false">
      <c r="A7" s="11" t="s">
        <v>7</v>
      </c>
      <c r="B7" s="14" t="n">
        <f aca="false">IFERROR(INDEX(Historias[Tiempo estimado],MATCH($B$2,Historias[Ref],0)),"")</f>
        <v>4</v>
      </c>
      <c r="C7" s="14"/>
      <c r="D7" s="14"/>
      <c r="E7" s="14"/>
      <c r="F7" s="14"/>
    </row>
    <row r="8" customFormat="false" ht="15" hidden="false" customHeight="true" outlineLevel="0" collapsed="false">
      <c r="A8" s="11" t="s">
        <v>8</v>
      </c>
      <c r="B8" s="14" t="n">
        <f aca="false">SUM(F:F)/60</f>
        <v>1.58333333333333</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295</v>
      </c>
      <c r="C12" s="15"/>
      <c r="D12" s="15"/>
      <c r="E12" s="15"/>
      <c r="F12" s="15"/>
    </row>
    <row r="13" customFormat="false" ht="48" hidden="false" customHeight="true" outlineLevel="0" collapsed="false">
      <c r="A13" s="11" t="s">
        <v>155</v>
      </c>
      <c r="B13" s="15" t="s">
        <v>296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IF(Obj_CS49[[#This Row],[Descripción]]="","",ROW()-ROW(Obj_CS49[[#Headers],[Objetivo]]))</f>
        <v>1</v>
      </c>
      <c r="B17" s="21" t="s">
        <v>297</v>
      </c>
      <c r="C17" s="6" t="s">
        <v>281</v>
      </c>
      <c r="D17" s="6"/>
      <c r="E17" s="22"/>
      <c r="F17" s="22" t="n">
        <v>15</v>
      </c>
    </row>
    <row r="18" customFormat="false" ht="18" hidden="false" customHeight="true" outlineLevel="0" collapsed="false">
      <c r="A18" s="20" t="n">
        <f aca="false">IF(Obj_CS49[[#This Row],[Descripción]]="","",ROW()-ROW(Obj_CS49[[#Headers],[Objetivo]]))</f>
        <v>2</v>
      </c>
      <c r="B18" s="21" t="s">
        <v>298</v>
      </c>
      <c r="C18" s="6" t="s">
        <v>281</v>
      </c>
      <c r="D18" s="6"/>
      <c r="E18" s="22"/>
      <c r="F18" s="22" t="n">
        <v>15</v>
      </c>
    </row>
    <row r="19" customFormat="false" ht="33" hidden="false" customHeight="true" outlineLevel="0" collapsed="false">
      <c r="A19" s="20" t="n">
        <f aca="false">IF(Obj_CS49[[#This Row],[Descripción]]="","",ROW()-ROW(Obj_CS49[[#Headers],[Objetivo]]))</f>
        <v>3</v>
      </c>
      <c r="B19" s="21" t="s">
        <v>299</v>
      </c>
      <c r="C19" s="6" t="s">
        <v>281</v>
      </c>
      <c r="D19" s="6"/>
      <c r="E19" s="22"/>
      <c r="F19" s="22" t="n">
        <v>5</v>
      </c>
    </row>
    <row r="20" customFormat="false" ht="18" hidden="false" customHeight="true" outlineLevel="0" collapsed="false">
      <c r="A20" s="20" t="n">
        <f aca="false">IF(Obj_CS49[[#This Row],[Descripción]]="","",ROW()-ROW(Obj_CS49[[#Headers],[Objetivo]]))</f>
        <v>4</v>
      </c>
      <c r="B20" s="21" t="s">
        <v>300</v>
      </c>
      <c r="C20" s="6" t="s">
        <v>281</v>
      </c>
      <c r="D20" s="6"/>
      <c r="E20" s="22"/>
      <c r="F20" s="22" t="n">
        <v>10</v>
      </c>
    </row>
    <row r="21" customFormat="false" ht="18" hidden="false" customHeight="true" outlineLevel="0" collapsed="false">
      <c r="A21" s="20" t="n">
        <f aca="false">IF(Obj_CS49[[#This Row],[Descripción]]="","",ROW()-ROW(Obj_CS49[[#Headers],[Objetivo]]))</f>
        <v>5</v>
      </c>
      <c r="B21" s="21" t="s">
        <v>301</v>
      </c>
      <c r="C21" s="6" t="s">
        <v>281</v>
      </c>
      <c r="D21" s="6"/>
      <c r="E21" s="22"/>
      <c r="F21" s="22" t="n">
        <v>30</v>
      </c>
    </row>
    <row r="22" customFormat="false" ht="18" hidden="false" customHeight="true" outlineLevel="0" collapsed="false">
      <c r="A22" s="20" t="n">
        <f aca="false">IF(Obj_CS49[[#This Row],[Descripción]]="","",ROW()-ROW(Obj_CS49[[#Headers],[Objetivo]]))</f>
        <v>6</v>
      </c>
      <c r="B22" s="21" t="s">
        <v>302</v>
      </c>
      <c r="C22" s="6" t="s">
        <v>281</v>
      </c>
      <c r="D22" s="6"/>
      <c r="E22" s="22"/>
      <c r="F22" s="22" t="n">
        <v>10</v>
      </c>
    </row>
    <row r="23" customFormat="false" ht="33" hidden="false" customHeight="true" outlineLevel="0" collapsed="false">
      <c r="A23" s="20" t="n">
        <f aca="false">IF(Obj_CS49[[#This Row],[Descripción]]="","",ROW()-ROW(Obj_CS49[[#Headers],[Objetivo]]))</f>
        <v>7</v>
      </c>
      <c r="B23" s="21" t="s">
        <v>303</v>
      </c>
      <c r="C23" s="6" t="s">
        <v>281</v>
      </c>
      <c r="D23" s="6"/>
      <c r="E23" s="22"/>
      <c r="F23" s="22" t="n">
        <v>5</v>
      </c>
    </row>
    <row r="24" customFormat="false" ht="18" hidden="false" customHeight="true" outlineLevel="0" collapsed="false">
      <c r="A24" s="20" t="n">
        <f aca="false">IF(Obj_CS49[[#This Row],[Descripción]]="","",ROW()-ROW(Obj_CS49[[#Headers],[Objetivo]]))</f>
        <v>8</v>
      </c>
      <c r="B24" s="21" t="s">
        <v>304</v>
      </c>
      <c r="C24" s="6" t="s">
        <v>281</v>
      </c>
      <c r="D24" s="6"/>
      <c r="E24" s="22"/>
      <c r="F24" s="22" t="n">
        <v>5</v>
      </c>
    </row>
    <row r="25" customFormat="false" ht="33" hidden="false" customHeight="true" outlineLevel="0" collapsed="false">
      <c r="A25" s="20" t="n">
        <f aca="false">IF(Obj_CS49[[#This Row],[Descripción]]="","",ROW()-ROW(Obj_CS49[[#Headers],[Objetivo]]))</f>
        <v>9</v>
      </c>
      <c r="B25" s="21" t="s">
        <v>305</v>
      </c>
      <c r="C25" s="6" t="s">
        <v>281</v>
      </c>
      <c r="D25" s="6"/>
      <c r="E25" s="22" t="n">
        <v>5</v>
      </c>
      <c r="F25"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06">
      <formula>$B4="En progreso"</formula>
    </cfRule>
    <cfRule type="expression" priority="3" aboveAverage="0" equalAverage="0" bottom="0" percent="0" rank="0" text="" dxfId="707">
      <formula>$B4="En espera"</formula>
    </cfRule>
    <cfRule type="expression" priority="4" aboveAverage="0" equalAverage="0" bottom="0" percent="0" rank="0" text="" dxfId="708">
      <formula>$B4="Finalizada"</formula>
    </cfRule>
    <cfRule type="expression" priority="5" aboveAverage="0" equalAverage="0" bottom="0" percent="0" rank="0" text="" dxfId="709">
      <formula>$B4="Sin página"</formula>
    </cfRule>
  </conditionalFormatting>
  <conditionalFormatting sqref="B5">
    <cfRule type="expression" priority="6" aboveAverage="0" equalAverage="0" bottom="0" percent="0" rank="0" text="" dxfId="710">
      <formula>$B5="I"</formula>
    </cfRule>
    <cfRule type="expression" priority="7" aboveAverage="0" equalAverage="0" bottom="0" percent="0" rank="0" text="" dxfId="711">
      <formula>$B5="N"</formula>
    </cfRule>
    <cfRule type="expression" priority="8" aboveAverage="0" equalAverage="0" bottom="0" percent="0" rank="0" text="" dxfId="712">
      <formula>$B5="M"</formula>
    </cfRule>
  </conditionalFormatting>
  <conditionalFormatting sqref="B6">
    <cfRule type="expression" priority="9" aboveAverage="0" equalAverage="0" bottom="0" percent="0" rank="0" text="" dxfId="713">
      <formula>$B6="Bajo"</formula>
    </cfRule>
    <cfRule type="expression" priority="10" aboveAverage="0" equalAverage="0" bottom="0" percent="0" rank="0" text="" dxfId="714">
      <formula>$B6="Medio bajo"</formula>
    </cfRule>
    <cfRule type="expression" priority="11" aboveAverage="0" equalAverage="0" bottom="0" percent="0" rank="0" text="" dxfId="715">
      <formula>$B6="Medio"</formula>
    </cfRule>
    <cfRule type="expression" priority="12" aboveAverage="0" equalAverage="0" bottom="0" percent="0" rank="0" text="" dxfId="716">
      <formula>$B6="Alto"</formula>
    </cfRule>
    <cfRule type="expression" priority="13" aboveAverage="0" equalAverage="0" bottom="0" percent="0" rank="0" text="" dxfId="717">
      <formula>$B6="Muy alto"</formula>
    </cfRule>
  </conditionalFormatting>
  <conditionalFormatting sqref="C17:C316">
    <cfRule type="expression" priority="14" aboveAverage="0" equalAverage="0" bottom="0" percent="0" rank="0" text="" dxfId="718">
      <formula>$C17="Sí"</formula>
    </cfRule>
    <cfRule type="expression" priority="15" aboveAverage="0" equalAverage="0" bottom="0" percent="0" rank="0" text="" dxfId="71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CS-50 · LUGARES DE LA EXPERIENCIA</v>
      </c>
      <c r="B1" s="9"/>
      <c r="C1" s="9"/>
      <c r="D1" s="9"/>
      <c r="E1" s="9"/>
      <c r="F1" s="10" t="s">
        <v>147</v>
      </c>
    </row>
    <row r="2" customFormat="false" ht="18" hidden="false" customHeight="true" outlineLevel="0" collapsed="false">
      <c r="A2" s="11" t="s">
        <v>3</v>
      </c>
      <c r="B2" s="12" t="s">
        <v>117</v>
      </c>
      <c r="C2" s="12"/>
      <c r="D2" s="12"/>
      <c r="E2" s="12"/>
      <c r="F2" s="12"/>
    </row>
    <row r="3" customFormat="false" ht="15" hidden="false" customHeight="true" outlineLevel="0" collapsed="false">
      <c r="A3" s="11" t="s">
        <v>4</v>
      </c>
      <c r="B3" s="13" t="str">
        <f aca="false">IFERROR(INDEX(Historias[Título],MATCH($B$2,Historias[Ref],0))&amp;"","")</f>
        <v>LUGARES DE LA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6</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306</v>
      </c>
      <c r="C12" s="15"/>
      <c r="D12" s="15"/>
      <c r="E12" s="15"/>
      <c r="F12" s="15"/>
    </row>
    <row r="13" customFormat="false" ht="63" hidden="false" customHeight="true" outlineLevel="0" collapsed="false">
      <c r="A13" s="11" t="s">
        <v>155</v>
      </c>
      <c r="B13" s="15" t="s">
        <v>307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IF(Obj_CS50[[#This Row],[Descripción]]="","",ROW()-ROW(Obj_CS50[[#Headers],[Objetivo]]))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20">
      <formula>$B4="En progreso"</formula>
    </cfRule>
    <cfRule type="expression" priority="3" aboveAverage="0" equalAverage="0" bottom="0" percent="0" rank="0" text="" dxfId="721">
      <formula>$B4="En espera"</formula>
    </cfRule>
    <cfRule type="expression" priority="4" aboveAverage="0" equalAverage="0" bottom="0" percent="0" rank="0" text="" dxfId="722">
      <formula>$B4="Finalizada"</formula>
    </cfRule>
    <cfRule type="expression" priority="5" aboveAverage="0" equalAverage="0" bottom="0" percent="0" rank="0" text="" dxfId="723">
      <formula>$B4="Sin página"</formula>
    </cfRule>
  </conditionalFormatting>
  <conditionalFormatting sqref="B5">
    <cfRule type="expression" priority="6" aboveAverage="0" equalAverage="0" bottom="0" percent="0" rank="0" text="" dxfId="724">
      <formula>$B5="I"</formula>
    </cfRule>
    <cfRule type="expression" priority="7" aboveAverage="0" equalAverage="0" bottom="0" percent="0" rank="0" text="" dxfId="725">
      <formula>$B5="N"</formula>
    </cfRule>
    <cfRule type="expression" priority="8" aboveAverage="0" equalAverage="0" bottom="0" percent="0" rank="0" text="" dxfId="726">
      <formula>$B5="M"</formula>
    </cfRule>
  </conditionalFormatting>
  <conditionalFormatting sqref="B6">
    <cfRule type="expression" priority="9" aboveAverage="0" equalAverage="0" bottom="0" percent="0" rank="0" text="" dxfId="727">
      <formula>$B6="Bajo"</formula>
    </cfRule>
    <cfRule type="expression" priority="10" aboveAverage="0" equalAverage="0" bottom="0" percent="0" rank="0" text="" dxfId="728">
      <formula>$B6="Medio bajo"</formula>
    </cfRule>
    <cfRule type="expression" priority="11" aboveAverage="0" equalAverage="0" bottom="0" percent="0" rank="0" text="" dxfId="729">
      <formula>$B6="Medio"</formula>
    </cfRule>
    <cfRule type="expression" priority="12" aboveAverage="0" equalAverage="0" bottom="0" percent="0" rank="0" text="" dxfId="730">
      <formula>$B6="Alto"</formula>
    </cfRule>
    <cfRule type="expression" priority="13" aboveAverage="0" equalAverage="0" bottom="0" percent="0" rank="0" text="" dxfId="731">
      <formula>$B6="Muy alto"</formula>
    </cfRule>
  </conditionalFormatting>
  <conditionalFormatting sqref="C17:C316">
    <cfRule type="expression" priority="14" aboveAverage="0" equalAverage="0" bottom="0" percent="0" rank="0" text="" dxfId="732">
      <formula>$C17="Sí"</formula>
    </cfRule>
    <cfRule type="expression" priority="15" aboveAverage="0" equalAverage="0" bottom="0" percent="0" rank="0" text="" dxfId="73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CS-51 · ITINERARIO DE EXPERIENCIAS</v>
      </c>
      <c r="B1" s="9"/>
      <c r="C1" s="9"/>
      <c r="D1" s="9"/>
      <c r="E1" s="9"/>
      <c r="F1" s="10" t="s">
        <v>147</v>
      </c>
    </row>
    <row r="2" customFormat="false" ht="18" hidden="false" customHeight="true" outlineLevel="0" collapsed="false">
      <c r="A2" s="11" t="s">
        <v>3</v>
      </c>
      <c r="B2" s="12" t="s">
        <v>119</v>
      </c>
      <c r="C2" s="12"/>
      <c r="D2" s="12"/>
      <c r="E2" s="12"/>
      <c r="F2" s="12"/>
    </row>
    <row r="3" customFormat="false" ht="15" hidden="false" customHeight="true" outlineLevel="0" collapsed="false">
      <c r="A3" s="11" t="s">
        <v>4</v>
      </c>
      <c r="B3" s="13" t="str">
        <f aca="false">IFERROR(INDEX(Historias[Título],MATCH($B$2,Historias[Ref],0))&amp;"","")</f>
        <v>ITINERARIO DE EXPERIENCIAS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308</v>
      </c>
      <c r="C12" s="15"/>
      <c r="D12" s="15"/>
      <c r="E12" s="15"/>
      <c r="F12" s="15"/>
    </row>
    <row r="13" customFormat="false" ht="45" hidden="false" customHeight="true" outlineLevel="0" collapsed="false">
      <c r="A13" s="11" t="s">
        <v>155</v>
      </c>
      <c r="B13" s="15" t="s">
        <v>309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IF(Obj_CS51[[#This Row],[Descripción]]="","",ROW()-ROW(Obj_CS51[[#Headers],[Objetivo]]))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34">
      <formula>$B4="En progreso"</formula>
    </cfRule>
    <cfRule type="expression" priority="3" aboveAverage="0" equalAverage="0" bottom="0" percent="0" rank="0" text="" dxfId="735">
      <formula>$B4="En espera"</formula>
    </cfRule>
    <cfRule type="expression" priority="4" aboveAverage="0" equalAverage="0" bottom="0" percent="0" rank="0" text="" dxfId="736">
      <formula>$B4="Finalizada"</formula>
    </cfRule>
    <cfRule type="expression" priority="5" aboveAverage="0" equalAverage="0" bottom="0" percent="0" rank="0" text="" dxfId="737">
      <formula>$B4="Sin página"</formula>
    </cfRule>
  </conditionalFormatting>
  <conditionalFormatting sqref="B5">
    <cfRule type="expression" priority="6" aboveAverage="0" equalAverage="0" bottom="0" percent="0" rank="0" text="" dxfId="738">
      <formula>$B5="I"</formula>
    </cfRule>
    <cfRule type="expression" priority="7" aboveAverage="0" equalAverage="0" bottom="0" percent="0" rank="0" text="" dxfId="739">
      <formula>$B5="N"</formula>
    </cfRule>
    <cfRule type="expression" priority="8" aboveAverage="0" equalAverage="0" bottom="0" percent="0" rank="0" text="" dxfId="740">
      <formula>$B5="M"</formula>
    </cfRule>
  </conditionalFormatting>
  <conditionalFormatting sqref="B6">
    <cfRule type="expression" priority="9" aboveAverage="0" equalAverage="0" bottom="0" percent="0" rank="0" text="" dxfId="741">
      <formula>$B6="Bajo"</formula>
    </cfRule>
    <cfRule type="expression" priority="10" aboveAverage="0" equalAverage="0" bottom="0" percent="0" rank="0" text="" dxfId="742">
      <formula>$B6="Medio bajo"</formula>
    </cfRule>
    <cfRule type="expression" priority="11" aboveAverage="0" equalAverage="0" bottom="0" percent="0" rank="0" text="" dxfId="743">
      <formula>$B6="Medio"</formula>
    </cfRule>
    <cfRule type="expression" priority="12" aboveAverage="0" equalAverage="0" bottom="0" percent="0" rank="0" text="" dxfId="744">
      <formula>$B6="Alto"</formula>
    </cfRule>
    <cfRule type="expression" priority="13" aboveAverage="0" equalAverage="0" bottom="0" percent="0" rank="0" text="" dxfId="745">
      <formula>$B6="Muy alto"</formula>
    </cfRule>
  </conditionalFormatting>
  <conditionalFormatting sqref="C17:C316">
    <cfRule type="expression" priority="14" aboveAverage="0" equalAverage="0" bottom="0" percent="0" rank="0" text="" dxfId="746">
      <formula>$C17="Sí"</formula>
    </cfRule>
    <cfRule type="expression" priority="15" aboveAverage="0" equalAverage="0" bottom="0" percent="0" rank="0" text="" dxfId="74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CS-52 · FOTOS Y COMENTARIOS DE LUGARES</v>
      </c>
      <c r="B1" s="9"/>
      <c r="C1" s="9"/>
      <c r="D1" s="9"/>
      <c r="E1" s="9"/>
      <c r="F1" s="10" t="s">
        <v>147</v>
      </c>
    </row>
    <row r="2" customFormat="false" ht="18" hidden="false" customHeight="true" outlineLevel="0" collapsed="false">
      <c r="A2" s="11" t="s">
        <v>3</v>
      </c>
      <c r="B2" s="12" t="s">
        <v>121</v>
      </c>
      <c r="C2" s="12"/>
      <c r="D2" s="12"/>
      <c r="E2" s="12"/>
      <c r="F2" s="12"/>
    </row>
    <row r="3" customFormat="false" ht="15" hidden="false" customHeight="true" outlineLevel="0" collapsed="false">
      <c r="A3" s="11" t="s">
        <v>4</v>
      </c>
      <c r="B3" s="13" t="str">
        <f aca="false">IFERROR(INDEX(Historias[Título],MATCH($B$2,Historias[Ref],0))&amp;"","")</f>
        <v>FOTOS Y COMENTARIOS DE LUGARES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310</v>
      </c>
      <c r="C12" s="15"/>
      <c r="D12" s="15"/>
      <c r="E12" s="15"/>
      <c r="F12" s="15"/>
    </row>
    <row r="13" customFormat="false" ht="45" hidden="false" customHeight="true" outlineLevel="0" collapsed="false">
      <c r="A13" s="11" t="s">
        <v>155</v>
      </c>
      <c r="B13" s="15" t="s">
        <v>311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IF(Obj_CS52[[#This Row],[Descripción]]="","",ROW()-ROW(Obj_CS52[[#Headers],[Objetivo]]))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48">
      <formula>$B4="En progreso"</formula>
    </cfRule>
    <cfRule type="expression" priority="3" aboveAverage="0" equalAverage="0" bottom="0" percent="0" rank="0" text="" dxfId="749">
      <formula>$B4="En espera"</formula>
    </cfRule>
    <cfRule type="expression" priority="4" aboveAverage="0" equalAverage="0" bottom="0" percent="0" rank="0" text="" dxfId="750">
      <formula>$B4="Finalizada"</formula>
    </cfRule>
    <cfRule type="expression" priority="5" aboveAverage="0" equalAverage="0" bottom="0" percent="0" rank="0" text="" dxfId="751">
      <formula>$B4="Sin página"</formula>
    </cfRule>
  </conditionalFormatting>
  <conditionalFormatting sqref="B5">
    <cfRule type="expression" priority="6" aboveAverage="0" equalAverage="0" bottom="0" percent="0" rank="0" text="" dxfId="752">
      <formula>$B5="I"</formula>
    </cfRule>
    <cfRule type="expression" priority="7" aboveAverage="0" equalAverage="0" bottom="0" percent="0" rank="0" text="" dxfId="753">
      <formula>$B5="N"</formula>
    </cfRule>
    <cfRule type="expression" priority="8" aboveAverage="0" equalAverage="0" bottom="0" percent="0" rank="0" text="" dxfId="754">
      <formula>$B5="M"</formula>
    </cfRule>
  </conditionalFormatting>
  <conditionalFormatting sqref="B6">
    <cfRule type="expression" priority="9" aboveAverage="0" equalAverage="0" bottom="0" percent="0" rank="0" text="" dxfId="755">
      <formula>$B6="Bajo"</formula>
    </cfRule>
    <cfRule type="expression" priority="10" aboveAverage="0" equalAverage="0" bottom="0" percent="0" rank="0" text="" dxfId="756">
      <formula>$B6="Medio bajo"</formula>
    </cfRule>
    <cfRule type="expression" priority="11" aboveAverage="0" equalAverage="0" bottom="0" percent="0" rank="0" text="" dxfId="757">
      <formula>$B6="Medio"</formula>
    </cfRule>
    <cfRule type="expression" priority="12" aboveAverage="0" equalAverage="0" bottom="0" percent="0" rank="0" text="" dxfId="758">
      <formula>$B6="Alto"</formula>
    </cfRule>
    <cfRule type="expression" priority="13" aboveAverage="0" equalAverage="0" bottom="0" percent="0" rank="0" text="" dxfId="759">
      <formula>$B6="Muy alto"</formula>
    </cfRule>
  </conditionalFormatting>
  <conditionalFormatting sqref="C17:C316">
    <cfRule type="expression" priority="14" aboveAverage="0" equalAverage="0" bottom="0" percent="0" rank="0" text="" dxfId="760">
      <formula>$C17="Sí"</formula>
    </cfRule>
    <cfRule type="expression" priority="15" aboveAverage="0" equalAverage="0" bottom="0" percent="0" rank="0" text="" dxfId="76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CS-53 · DURACIÓN Y TARIFA DE LA EXPERIENCIA</v>
      </c>
      <c r="B1" s="9"/>
      <c r="C1" s="9"/>
      <c r="D1" s="9"/>
      <c r="E1" s="9"/>
      <c r="F1" s="10" t="s">
        <v>147</v>
      </c>
    </row>
    <row r="2" customFormat="false" ht="18" hidden="false" customHeight="true" outlineLevel="0" collapsed="false">
      <c r="A2" s="11" t="s">
        <v>3</v>
      </c>
      <c r="B2" s="12" t="s">
        <v>123</v>
      </c>
      <c r="C2" s="12"/>
      <c r="D2" s="12"/>
      <c r="E2" s="12"/>
      <c r="F2" s="12"/>
    </row>
    <row r="3" customFormat="false" ht="15" hidden="false" customHeight="true" outlineLevel="0" collapsed="false">
      <c r="A3" s="11" t="s">
        <v>4</v>
      </c>
      <c r="B3" s="13" t="str">
        <f aca="false">IFERROR(INDEX(Historias[Título],MATCH($B$2,Historias[Ref],0))&amp;"","")</f>
        <v>DURACIÓN Y TARIFA DE LA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312</v>
      </c>
      <c r="C12" s="15"/>
      <c r="D12" s="15"/>
      <c r="E12" s="15"/>
      <c r="F12" s="15"/>
    </row>
    <row r="13" customFormat="false" ht="45" hidden="false" customHeight="true" outlineLevel="0" collapsed="false">
      <c r="A13" s="11" t="s">
        <v>155</v>
      </c>
      <c r="B13" s="15" t="s">
        <v>313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IF(Obj_CS53[[#This Row],[Descripción]]="","",ROW()-ROW(Obj_CS53[[#Headers],[Objetivo]]))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62">
      <formula>$B4="En progreso"</formula>
    </cfRule>
    <cfRule type="expression" priority="3" aboveAverage="0" equalAverage="0" bottom="0" percent="0" rank="0" text="" dxfId="763">
      <formula>$B4="En espera"</formula>
    </cfRule>
    <cfRule type="expression" priority="4" aboveAverage="0" equalAverage="0" bottom="0" percent="0" rank="0" text="" dxfId="764">
      <formula>$B4="Finalizada"</formula>
    </cfRule>
    <cfRule type="expression" priority="5" aboveAverage="0" equalAverage="0" bottom="0" percent="0" rank="0" text="" dxfId="765">
      <formula>$B4="Sin página"</formula>
    </cfRule>
  </conditionalFormatting>
  <conditionalFormatting sqref="B5">
    <cfRule type="expression" priority="6" aboveAverage="0" equalAverage="0" bottom="0" percent="0" rank="0" text="" dxfId="766">
      <formula>$B5="I"</formula>
    </cfRule>
    <cfRule type="expression" priority="7" aboveAverage="0" equalAverage="0" bottom="0" percent="0" rank="0" text="" dxfId="767">
      <formula>$B5="N"</formula>
    </cfRule>
    <cfRule type="expression" priority="8" aboveAverage="0" equalAverage="0" bottom="0" percent="0" rank="0" text="" dxfId="768">
      <formula>$B5="M"</formula>
    </cfRule>
  </conditionalFormatting>
  <conditionalFormatting sqref="B6">
    <cfRule type="expression" priority="9" aboveAverage="0" equalAverage="0" bottom="0" percent="0" rank="0" text="" dxfId="769">
      <formula>$B6="Bajo"</formula>
    </cfRule>
    <cfRule type="expression" priority="10" aboveAverage="0" equalAverage="0" bottom="0" percent="0" rank="0" text="" dxfId="770">
      <formula>$B6="Medio bajo"</formula>
    </cfRule>
    <cfRule type="expression" priority="11" aboveAverage="0" equalAverage="0" bottom="0" percent="0" rank="0" text="" dxfId="771">
      <formula>$B6="Medio"</formula>
    </cfRule>
    <cfRule type="expression" priority="12" aboveAverage="0" equalAverage="0" bottom="0" percent="0" rank="0" text="" dxfId="772">
      <formula>$B6="Alto"</formula>
    </cfRule>
    <cfRule type="expression" priority="13" aboveAverage="0" equalAverage="0" bottom="0" percent="0" rank="0" text="" dxfId="773">
      <formula>$B6="Muy alto"</formula>
    </cfRule>
  </conditionalFormatting>
  <conditionalFormatting sqref="C17:C316">
    <cfRule type="expression" priority="14" aboveAverage="0" equalAverage="0" bottom="0" percent="0" rank="0" text="" dxfId="774">
      <formula>$C17="Sí"</formula>
    </cfRule>
    <cfRule type="expression" priority="15" aboveAverage="0" equalAverage="0" bottom="0" percent="0" rank="0" text="" dxfId="77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CS-54 · EVENTOS DE UN LUGAR</v>
      </c>
      <c r="B1" s="9"/>
      <c r="C1" s="9"/>
      <c r="D1" s="9"/>
      <c r="E1" s="9"/>
      <c r="F1" s="10" t="s">
        <v>147</v>
      </c>
    </row>
    <row r="2" customFormat="false" ht="18" hidden="false" customHeight="true" outlineLevel="0" collapsed="false">
      <c r="A2" s="11" t="s">
        <v>3</v>
      </c>
      <c r="B2" s="12" t="s">
        <v>125</v>
      </c>
      <c r="C2" s="12"/>
      <c r="D2" s="12"/>
      <c r="E2" s="12"/>
      <c r="F2" s="12"/>
    </row>
    <row r="3" customFormat="false" ht="15" hidden="false" customHeight="true" outlineLevel="0" collapsed="false">
      <c r="A3" s="11" t="s">
        <v>4</v>
      </c>
      <c r="B3" s="13" t="str">
        <f aca="false">IFERROR(INDEX(Historias[Título],MATCH($B$2,Historias[Ref],0))&amp;"","")</f>
        <v>EVENTOS DE UN LUGAR</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5</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314</v>
      </c>
      <c r="C12" s="15"/>
      <c r="D12" s="15"/>
      <c r="E12" s="15"/>
      <c r="F12" s="15"/>
    </row>
    <row r="13" customFormat="false" ht="45" hidden="false" customHeight="true" outlineLevel="0" collapsed="false">
      <c r="A13" s="11" t="s">
        <v>155</v>
      </c>
      <c r="B13" s="15" t="s">
        <v>315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IF(Obj_CS54[[#This Row],[Descripción]]="","",ROW()-ROW(Obj_CS54[[#Headers],[Objetivo]]))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76">
      <formula>$B4="En progreso"</formula>
    </cfRule>
    <cfRule type="expression" priority="3" aboveAverage="0" equalAverage="0" bottom="0" percent="0" rank="0" text="" dxfId="777">
      <formula>$B4="En espera"</formula>
    </cfRule>
    <cfRule type="expression" priority="4" aboveAverage="0" equalAverage="0" bottom="0" percent="0" rank="0" text="" dxfId="778">
      <formula>$B4="Finalizada"</formula>
    </cfRule>
    <cfRule type="expression" priority="5" aboveAverage="0" equalAverage="0" bottom="0" percent="0" rank="0" text="" dxfId="779">
      <formula>$B4="Sin página"</formula>
    </cfRule>
  </conditionalFormatting>
  <conditionalFormatting sqref="B5">
    <cfRule type="expression" priority="6" aboveAverage="0" equalAverage="0" bottom="0" percent="0" rank="0" text="" dxfId="780">
      <formula>$B5="I"</formula>
    </cfRule>
    <cfRule type="expression" priority="7" aboveAverage="0" equalAverage="0" bottom="0" percent="0" rank="0" text="" dxfId="781">
      <formula>$B5="N"</formula>
    </cfRule>
    <cfRule type="expression" priority="8" aboveAverage="0" equalAverage="0" bottom="0" percent="0" rank="0" text="" dxfId="782">
      <formula>$B5="M"</formula>
    </cfRule>
  </conditionalFormatting>
  <conditionalFormatting sqref="B6">
    <cfRule type="expression" priority="9" aboveAverage="0" equalAverage="0" bottom="0" percent="0" rank="0" text="" dxfId="783">
      <formula>$B6="Bajo"</formula>
    </cfRule>
    <cfRule type="expression" priority="10" aboveAverage="0" equalAverage="0" bottom="0" percent="0" rank="0" text="" dxfId="784">
      <formula>$B6="Medio bajo"</formula>
    </cfRule>
    <cfRule type="expression" priority="11" aboveAverage="0" equalAverage="0" bottom="0" percent="0" rank="0" text="" dxfId="785">
      <formula>$B6="Medio"</formula>
    </cfRule>
    <cfRule type="expression" priority="12" aboveAverage="0" equalAverage="0" bottom="0" percent="0" rank="0" text="" dxfId="786">
      <formula>$B6="Alto"</formula>
    </cfRule>
    <cfRule type="expression" priority="13" aboveAverage="0" equalAverage="0" bottom="0" percent="0" rank="0" text="" dxfId="787">
      <formula>$B6="Muy alto"</formula>
    </cfRule>
  </conditionalFormatting>
  <conditionalFormatting sqref="C17:C316">
    <cfRule type="expression" priority="14" aboveAverage="0" equalAverage="0" bottom="0" percent="0" rank="0" text="" dxfId="788">
      <formula>$C17="Sí"</formula>
    </cfRule>
    <cfRule type="expression" priority="15" aboveAverage="0" equalAverage="0" bottom="0" percent="0" rank="0" text="" dxfId="78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CS-55 · CATEGORÍA DE LA EXPERIENCIA</v>
      </c>
      <c r="B1" s="9"/>
      <c r="C1" s="9"/>
      <c r="D1" s="9"/>
      <c r="E1" s="9"/>
      <c r="F1" s="10" t="s">
        <v>147</v>
      </c>
    </row>
    <row r="2" customFormat="false" ht="18" hidden="false" customHeight="true" outlineLevel="0" collapsed="false">
      <c r="A2" s="11" t="s">
        <v>3</v>
      </c>
      <c r="B2" s="12" t="s">
        <v>127</v>
      </c>
      <c r="C2" s="12"/>
      <c r="D2" s="12"/>
      <c r="E2" s="12"/>
      <c r="F2" s="12"/>
    </row>
    <row r="3" customFormat="false" ht="15" hidden="false" customHeight="true" outlineLevel="0" collapsed="false">
      <c r="A3" s="11" t="s">
        <v>4</v>
      </c>
      <c r="B3" s="13" t="str">
        <f aca="false">IFERROR(INDEX(Historias[Título],MATCH($B$2,Historias[Ref],0))&amp;"","")</f>
        <v>CATEGORÍA DE LA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3</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316</v>
      </c>
      <c r="C12" s="15"/>
      <c r="D12" s="15"/>
      <c r="E12" s="15"/>
      <c r="F12" s="15"/>
    </row>
    <row r="13" customFormat="false" ht="45" hidden="false" customHeight="true" outlineLevel="0" collapsed="false">
      <c r="A13" s="11" t="s">
        <v>155</v>
      </c>
      <c r="B13" s="15" t="s">
        <v>317</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IF(Obj_CS55[[#This Row],[Descripción]]="","",ROW()-ROW(Obj_CS55[[#Headers],[Objetivo]]))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790">
      <formula>$B4="En progreso"</formula>
    </cfRule>
    <cfRule type="expression" priority="3" aboveAverage="0" equalAverage="0" bottom="0" percent="0" rank="0" text="" dxfId="791">
      <formula>$B4="En espera"</formula>
    </cfRule>
    <cfRule type="expression" priority="4" aboveAverage="0" equalAverage="0" bottom="0" percent="0" rank="0" text="" dxfId="792">
      <formula>$B4="Finalizada"</formula>
    </cfRule>
    <cfRule type="expression" priority="5" aboveAverage="0" equalAverage="0" bottom="0" percent="0" rank="0" text="" dxfId="793">
      <formula>$B4="Sin página"</formula>
    </cfRule>
  </conditionalFormatting>
  <conditionalFormatting sqref="B5">
    <cfRule type="expression" priority="6" aboveAverage="0" equalAverage="0" bottom="0" percent="0" rank="0" text="" dxfId="794">
      <formula>$B5="I"</formula>
    </cfRule>
    <cfRule type="expression" priority="7" aboveAverage="0" equalAverage="0" bottom="0" percent="0" rank="0" text="" dxfId="795">
      <formula>$B5="N"</formula>
    </cfRule>
    <cfRule type="expression" priority="8" aboveAverage="0" equalAverage="0" bottom="0" percent="0" rank="0" text="" dxfId="796">
      <formula>$B5="M"</formula>
    </cfRule>
  </conditionalFormatting>
  <conditionalFormatting sqref="B6">
    <cfRule type="expression" priority="9" aboveAverage="0" equalAverage="0" bottom="0" percent="0" rank="0" text="" dxfId="797">
      <formula>$B6="Bajo"</formula>
    </cfRule>
    <cfRule type="expression" priority="10" aboveAverage="0" equalAverage="0" bottom="0" percent="0" rank="0" text="" dxfId="798">
      <formula>$B6="Medio bajo"</formula>
    </cfRule>
    <cfRule type="expression" priority="11" aboveAverage="0" equalAverage="0" bottom="0" percent="0" rank="0" text="" dxfId="799">
      <formula>$B6="Medio"</formula>
    </cfRule>
    <cfRule type="expression" priority="12" aboveAverage="0" equalAverage="0" bottom="0" percent="0" rank="0" text="" dxfId="800">
      <formula>$B6="Alto"</formula>
    </cfRule>
    <cfRule type="expression" priority="13" aboveAverage="0" equalAverage="0" bottom="0" percent="0" rank="0" text="" dxfId="801">
      <formula>$B6="Muy alto"</formula>
    </cfRule>
  </conditionalFormatting>
  <conditionalFormatting sqref="C17:C316">
    <cfRule type="expression" priority="14" aboveAverage="0" equalAverage="0" bottom="0" percent="0" rank="0" text="" dxfId="802">
      <formula>$C17="Sí"</formula>
    </cfRule>
    <cfRule type="expression" priority="15" aboveAverage="0" equalAverage="0" bottom="0" percent="0" rank="0" text="" dxfId="80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CS-56 · MOMENTO RECOMENDADO DE LA EXPERIENCIA</v>
      </c>
      <c r="B1" s="9"/>
      <c r="C1" s="9"/>
      <c r="D1" s="9"/>
      <c r="E1" s="9"/>
      <c r="F1" s="10" t="s">
        <v>147</v>
      </c>
    </row>
    <row r="2" customFormat="false" ht="18" hidden="false" customHeight="true" outlineLevel="0" collapsed="false">
      <c r="A2" s="11" t="s">
        <v>3</v>
      </c>
      <c r="B2" s="12" t="s">
        <v>129</v>
      </c>
      <c r="C2" s="12"/>
      <c r="D2" s="12"/>
      <c r="E2" s="12"/>
      <c r="F2" s="12"/>
    </row>
    <row r="3" customFormat="false" ht="15" hidden="false" customHeight="true" outlineLevel="0" collapsed="false">
      <c r="A3" s="11" t="s">
        <v>4</v>
      </c>
      <c r="B3" s="13" t="str">
        <f aca="false">IFERROR(INDEX(Historias[Título],MATCH($B$2,Historias[Ref],0))&amp;"","")</f>
        <v>MOMENTO RECOMENDADO DE LA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6</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318</v>
      </c>
      <c r="C12" s="15"/>
      <c r="D12" s="15"/>
      <c r="E12" s="15"/>
      <c r="F12" s="15"/>
    </row>
    <row r="13" customFormat="false" ht="45" hidden="false" customHeight="true" outlineLevel="0" collapsed="false">
      <c r="A13" s="11" t="s">
        <v>155</v>
      </c>
      <c r="B13" s="15" t="s">
        <v>319</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IF(Obj_CS56[[#This Row],[Descripción]]="","",ROW()-ROW(Obj_CS56[[#Headers],[Objetivo]]))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04">
      <formula>$B4="En progreso"</formula>
    </cfRule>
    <cfRule type="expression" priority="3" aboveAverage="0" equalAverage="0" bottom="0" percent="0" rank="0" text="" dxfId="805">
      <formula>$B4="En espera"</formula>
    </cfRule>
    <cfRule type="expression" priority="4" aboveAverage="0" equalAverage="0" bottom="0" percent="0" rank="0" text="" dxfId="806">
      <formula>$B4="Finalizada"</formula>
    </cfRule>
    <cfRule type="expression" priority="5" aboveAverage="0" equalAverage="0" bottom="0" percent="0" rank="0" text="" dxfId="807">
      <formula>$B4="Sin página"</formula>
    </cfRule>
  </conditionalFormatting>
  <conditionalFormatting sqref="B5">
    <cfRule type="expression" priority="6" aboveAverage="0" equalAverage="0" bottom="0" percent="0" rank="0" text="" dxfId="808">
      <formula>$B5="I"</formula>
    </cfRule>
    <cfRule type="expression" priority="7" aboveAverage="0" equalAverage="0" bottom="0" percent="0" rank="0" text="" dxfId="809">
      <formula>$B5="N"</formula>
    </cfRule>
    <cfRule type="expression" priority="8" aboveAverage="0" equalAverage="0" bottom="0" percent="0" rank="0" text="" dxfId="810">
      <formula>$B5="M"</formula>
    </cfRule>
  </conditionalFormatting>
  <conditionalFormatting sqref="B6">
    <cfRule type="expression" priority="9" aboveAverage="0" equalAverage="0" bottom="0" percent="0" rank="0" text="" dxfId="811">
      <formula>$B6="Bajo"</formula>
    </cfRule>
    <cfRule type="expression" priority="10" aboveAverage="0" equalAverage="0" bottom="0" percent="0" rank="0" text="" dxfId="812">
      <formula>$B6="Medio bajo"</formula>
    </cfRule>
    <cfRule type="expression" priority="11" aboveAverage="0" equalAverage="0" bottom="0" percent="0" rank="0" text="" dxfId="813">
      <formula>$B6="Medio"</formula>
    </cfRule>
    <cfRule type="expression" priority="12" aboveAverage="0" equalAverage="0" bottom="0" percent="0" rank="0" text="" dxfId="814">
      <formula>$B6="Alto"</formula>
    </cfRule>
    <cfRule type="expression" priority="13" aboveAverage="0" equalAverage="0" bottom="0" percent="0" rank="0" text="" dxfId="815">
      <formula>$B6="Muy alto"</formula>
    </cfRule>
  </conditionalFormatting>
  <conditionalFormatting sqref="C17:C316">
    <cfRule type="expression" priority="14" aboveAverage="0" equalAverage="0" bottom="0" percent="0" rank="0" text="" dxfId="816">
      <formula>$C17="Sí"</formula>
    </cfRule>
    <cfRule type="expression" priority="15" aboveAverage="0" equalAverage="0" bottom="0" percent="0" rank="0" text="" dxfId="81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 activeCellId="0" sqref="F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CS-57 · EDICIÓN DE EXPERIENCIA</v>
      </c>
      <c r="B1" s="9"/>
      <c r="C1" s="9"/>
      <c r="D1" s="9"/>
      <c r="E1" s="9"/>
      <c r="F1" s="10" t="s">
        <v>147</v>
      </c>
    </row>
    <row r="2" customFormat="false" ht="18" hidden="false" customHeight="true" outlineLevel="0" collapsed="false">
      <c r="A2" s="11" t="s">
        <v>3</v>
      </c>
      <c r="B2" s="12" t="s">
        <v>131</v>
      </c>
      <c r="C2" s="12"/>
      <c r="D2" s="12"/>
      <c r="E2" s="12"/>
      <c r="F2" s="12"/>
    </row>
    <row r="3" customFormat="false" ht="15" hidden="false" customHeight="true" outlineLevel="0" collapsed="false">
      <c r="A3" s="11" t="s">
        <v>4</v>
      </c>
      <c r="B3" s="13" t="str">
        <f aca="false">IFERROR(INDEX(Historias[Título],MATCH($B$2,Historias[Ref],0))&amp;"","")</f>
        <v>EDICIÓN DE EXPERIENCIA</v>
      </c>
      <c r="C3" s="13"/>
      <c r="D3" s="13"/>
      <c r="E3" s="13"/>
      <c r="F3" s="13"/>
    </row>
    <row r="4" customFormat="false" ht="15" hidden="false" customHeight="true" outlineLevel="0" collapsed="false">
      <c r="A4" s="11" t="s">
        <v>9</v>
      </c>
      <c r="B4" s="13" t="str">
        <f aca="false">IFERROR(INDEX(Historias[Estado],MATCH($B$2,Historias[Ref],0))&amp;"","")</f>
        <v>En progreso</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3</v>
      </c>
      <c r="C7" s="14"/>
      <c r="D7" s="14"/>
      <c r="E7" s="14"/>
      <c r="F7" s="14"/>
    </row>
    <row r="8" customFormat="false" ht="15" hidden="false" customHeight="true" outlineLevel="0" collapsed="false">
      <c r="A8" s="11" t="s">
        <v>8</v>
      </c>
      <c r="B8" s="14" t="n">
        <f aca="false">SUM(F:F)/60</f>
        <v>0.833333333333333</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320</v>
      </c>
      <c r="C12" s="15"/>
      <c r="D12" s="15"/>
      <c r="E12" s="15"/>
      <c r="F12" s="15"/>
    </row>
    <row r="13" customFormat="false" ht="48" hidden="false" customHeight="true" outlineLevel="0" collapsed="false">
      <c r="A13" s="11" t="s">
        <v>155</v>
      </c>
      <c r="B13" s="15" t="s">
        <v>321</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8" hidden="false" customHeight="true" outlineLevel="0" collapsed="false">
      <c r="A17" s="20" t="n">
        <f aca="false">IF(Obj_CS57[[#This Row],[Descripción]]="","",ROW()-ROW(Obj_CS57[[#Headers],[Objetivo]]))</f>
        <v>1</v>
      </c>
      <c r="B17" s="21" t="s">
        <v>322</v>
      </c>
      <c r="C17" s="6" t="s">
        <v>281</v>
      </c>
      <c r="D17" s="6"/>
      <c r="E17" s="22"/>
      <c r="F17" s="22" t="n">
        <v>20</v>
      </c>
    </row>
    <row r="18" customFormat="false" ht="18" hidden="false" customHeight="true" outlineLevel="0" collapsed="false">
      <c r="A18" s="20" t="n">
        <f aca="false">IF(Obj_CS57[[#This Row],[Descripción]]="","",ROW()-ROW(Obj_CS57[[#Headers],[Objetivo]]))</f>
        <v>2</v>
      </c>
      <c r="B18" s="21" t="s">
        <v>323</v>
      </c>
      <c r="C18" s="6" t="s">
        <v>281</v>
      </c>
      <c r="D18" s="6"/>
      <c r="E18" s="22"/>
      <c r="F18" s="22" t="n">
        <v>15</v>
      </c>
    </row>
    <row r="19" customFormat="false" ht="18" hidden="false" customHeight="true" outlineLevel="0" collapsed="false">
      <c r="A19" s="20" t="n">
        <f aca="false">IF(Obj_CS57[[#This Row],[Descripción]]="","",ROW()-ROW(Obj_CS57[[#Headers],[Objetivo]]))</f>
        <v>3</v>
      </c>
      <c r="B19" s="21" t="s">
        <v>324</v>
      </c>
      <c r="C19" s="6" t="s">
        <v>281</v>
      </c>
      <c r="D19" s="6"/>
      <c r="E19" s="22"/>
      <c r="F19" s="22" t="n">
        <v>10</v>
      </c>
    </row>
    <row r="20" customFormat="false" ht="33" hidden="false" customHeight="true" outlineLevel="0" collapsed="false">
      <c r="A20" s="20" t="n">
        <f aca="false">IF(Obj_CS57[[#This Row],[Descripción]]="","",ROW()-ROW(Obj_CS57[[#Headers],[Objetivo]]))</f>
        <v>4</v>
      </c>
      <c r="B20" s="21" t="s">
        <v>325</v>
      </c>
      <c r="C20" s="6" t="s">
        <v>326</v>
      </c>
      <c r="D20" s="6"/>
      <c r="E20" s="22"/>
      <c r="F20" s="22"/>
    </row>
    <row r="21" customFormat="false" ht="18" hidden="false" customHeight="true" outlineLevel="0" collapsed="false">
      <c r="A21" s="20" t="n">
        <f aca="false">IF(Obj_CS57[[#This Row],[Descripción]]="","",ROW()-ROW(Obj_CS57[[#Headers],[Objetivo]]))</f>
        <v>5</v>
      </c>
      <c r="B21" s="21" t="s">
        <v>327</v>
      </c>
      <c r="C21" s="6" t="s">
        <v>281</v>
      </c>
      <c r="D21" s="6"/>
      <c r="E21" s="22"/>
      <c r="F21" s="22" t="n">
        <v>5</v>
      </c>
    </row>
    <row r="22" customFormat="false" ht="18" hidden="false" customHeight="true" outlineLevel="0" collapsed="false">
      <c r="A22" s="20" t="n">
        <f aca="false">IF(Obj_CS57[[#This Row],[Descripción]]="","",ROW()-ROW(Obj_CS57[[#Headers],[Objetivo]]))</f>
        <v>6</v>
      </c>
      <c r="B22" s="21" t="s">
        <v>328</v>
      </c>
      <c r="C22" s="6" t="s">
        <v>281</v>
      </c>
      <c r="D22" s="6"/>
      <c r="E22" s="22" t="n">
        <v>5</v>
      </c>
      <c r="F22" s="22"/>
    </row>
    <row r="23" customFormat="false" ht="33" hidden="false" customHeight="true" outlineLevel="0" collapsed="false">
      <c r="A23" s="20" t="n">
        <f aca="false">IF(Obj_CS57[[#This Row],[Descripción]]="","",ROW()-ROW(Obj_CS57[[#Headers],[Objetivo]]))</f>
        <v>7</v>
      </c>
      <c r="B23" s="21" t="s">
        <v>329</v>
      </c>
      <c r="C23" s="6" t="s">
        <v>281</v>
      </c>
      <c r="D23" s="6"/>
      <c r="E23" s="22" t="n">
        <v>5</v>
      </c>
      <c r="F23" s="22"/>
    </row>
    <row r="24" customFormat="false" ht="33" hidden="false" customHeight="true" outlineLevel="0" collapsed="false">
      <c r="A24" s="20" t="n">
        <f aca="false">IF(Obj_CS57[[#This Row],[Descripción]]="","",ROW()-ROW(Obj_CS57[[#Headers],[Objetivo]]))</f>
        <v>8</v>
      </c>
      <c r="B24" s="21" t="s">
        <v>330</v>
      </c>
      <c r="C24" s="6" t="s">
        <v>281</v>
      </c>
      <c r="D24" s="6"/>
      <c r="E24" s="22" t="n">
        <v>5</v>
      </c>
      <c r="F24"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18">
      <formula>$B4="En progreso"</formula>
    </cfRule>
    <cfRule type="expression" priority="3" aboveAverage="0" equalAverage="0" bottom="0" percent="0" rank="0" text="" dxfId="819">
      <formula>$B4="En espera"</formula>
    </cfRule>
    <cfRule type="expression" priority="4" aboveAverage="0" equalAverage="0" bottom="0" percent="0" rank="0" text="" dxfId="820">
      <formula>$B4="Finalizada"</formula>
    </cfRule>
    <cfRule type="expression" priority="5" aboveAverage="0" equalAverage="0" bottom="0" percent="0" rank="0" text="" dxfId="821">
      <formula>$B4="Sin página"</formula>
    </cfRule>
  </conditionalFormatting>
  <conditionalFormatting sqref="B5">
    <cfRule type="expression" priority="6" aboveAverage="0" equalAverage="0" bottom="0" percent="0" rank="0" text="" dxfId="822">
      <formula>$B5="I"</formula>
    </cfRule>
    <cfRule type="expression" priority="7" aboveAverage="0" equalAverage="0" bottom="0" percent="0" rank="0" text="" dxfId="823">
      <formula>$B5="N"</formula>
    </cfRule>
    <cfRule type="expression" priority="8" aboveAverage="0" equalAverage="0" bottom="0" percent="0" rank="0" text="" dxfId="824">
      <formula>$B5="M"</formula>
    </cfRule>
  </conditionalFormatting>
  <conditionalFormatting sqref="B6">
    <cfRule type="expression" priority="9" aboveAverage="0" equalAverage="0" bottom="0" percent="0" rank="0" text="" dxfId="825">
      <formula>$B6="Bajo"</formula>
    </cfRule>
    <cfRule type="expression" priority="10" aboveAverage="0" equalAverage="0" bottom="0" percent="0" rank="0" text="" dxfId="826">
      <formula>$B6="Medio bajo"</formula>
    </cfRule>
    <cfRule type="expression" priority="11" aboveAverage="0" equalAverage="0" bottom="0" percent="0" rank="0" text="" dxfId="827">
      <formula>$B6="Medio"</formula>
    </cfRule>
    <cfRule type="expression" priority="12" aboveAverage="0" equalAverage="0" bottom="0" percent="0" rank="0" text="" dxfId="828">
      <formula>$B6="Alto"</formula>
    </cfRule>
    <cfRule type="expression" priority="13" aboveAverage="0" equalAverage="0" bottom="0" percent="0" rank="0" text="" dxfId="829">
      <formula>$B6="Muy alto"</formula>
    </cfRule>
  </conditionalFormatting>
  <conditionalFormatting sqref="C17:C316">
    <cfRule type="expression" priority="14" aboveAverage="0" equalAverage="0" bottom="0" percent="0" rank="0" text="" dxfId="830">
      <formula>$C17="Sí"</formula>
    </cfRule>
    <cfRule type="expression" priority="15" aboveAverage="0" equalAverage="0" bottom="0" percent="0" rank="0" text="" dxfId="831">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CS-58 · TRANSPORTE PÚBLICO DE LA EXPERIENCIA</v>
      </c>
      <c r="B1" s="9"/>
      <c r="C1" s="9"/>
      <c r="D1" s="9"/>
      <c r="E1" s="9"/>
      <c r="F1" s="10" t="s">
        <v>147</v>
      </c>
    </row>
    <row r="2" customFormat="false" ht="18" hidden="false" customHeight="true" outlineLevel="0" collapsed="false">
      <c r="A2" s="11" t="s">
        <v>3</v>
      </c>
      <c r="B2" s="12" t="s">
        <v>133</v>
      </c>
      <c r="C2" s="12"/>
      <c r="D2" s="12"/>
      <c r="E2" s="12"/>
      <c r="F2" s="12"/>
    </row>
    <row r="3" customFormat="false" ht="15" hidden="false" customHeight="true" outlineLevel="0" collapsed="false">
      <c r="A3" s="11" t="s">
        <v>4</v>
      </c>
      <c r="B3" s="13" t="str">
        <f aca="false">IFERROR(INDEX(Historias[Título],MATCH($B$2,Historias[Ref],0))&amp;"","")</f>
        <v>TRANSPORTE PÚBLICO DE LA EXPERIENCIA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M</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8" hidden="false" customHeight="true" outlineLevel="0" collapsed="false">
      <c r="A9" s="11" t="s">
        <v>148</v>
      </c>
      <c r="B9" s="15" t="s">
        <v>294</v>
      </c>
      <c r="C9" s="15"/>
      <c r="D9" s="15"/>
      <c r="E9" s="15"/>
      <c r="F9" s="15"/>
    </row>
    <row r="10" customFormat="false" ht="18" hidden="false" customHeight="true" outlineLevel="0" collapsed="false">
      <c r="A10" s="11" t="s">
        <v>150</v>
      </c>
      <c r="B10" s="16" t="n">
        <v>46286</v>
      </c>
      <c r="C10" s="16"/>
      <c r="D10" s="16"/>
      <c r="E10" s="16"/>
      <c r="F10" s="16"/>
    </row>
    <row r="11" customFormat="false" ht="15" hidden="false" customHeight="true" outlineLevel="0" collapsed="false">
      <c r="A11" s="11" t="s">
        <v>151</v>
      </c>
      <c r="B11" s="15"/>
      <c r="C11" s="15"/>
      <c r="D11" s="15"/>
      <c r="E11" s="15"/>
      <c r="F11" s="15"/>
    </row>
    <row r="12" customFormat="false" ht="48" hidden="false" customHeight="true" outlineLevel="0" collapsed="false">
      <c r="A12" s="11" t="s">
        <v>153</v>
      </c>
      <c r="B12" s="15" t="s">
        <v>331</v>
      </c>
      <c r="C12" s="15"/>
      <c r="D12" s="15"/>
      <c r="E12" s="15"/>
      <c r="F12" s="15"/>
    </row>
    <row r="13" customFormat="false" ht="63" hidden="false" customHeight="true" outlineLevel="0" collapsed="false">
      <c r="A13" s="11" t="s">
        <v>155</v>
      </c>
      <c r="B13" s="15" t="s">
        <v>332</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IF(Obj_CS58[[#This Row],[Descripción]]="","",ROW()-ROW(Obj_CS58[[#Headers],[Objetivo]]))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32">
      <formula>$B4="En progreso"</formula>
    </cfRule>
    <cfRule type="expression" priority="3" aboveAverage="0" equalAverage="0" bottom="0" percent="0" rank="0" text="" dxfId="833">
      <formula>$B4="En espera"</formula>
    </cfRule>
    <cfRule type="expression" priority="4" aboveAverage="0" equalAverage="0" bottom="0" percent="0" rank="0" text="" dxfId="834">
      <formula>$B4="Finalizada"</formula>
    </cfRule>
    <cfRule type="expression" priority="5" aboveAverage="0" equalAverage="0" bottom="0" percent="0" rank="0" text="" dxfId="835">
      <formula>$B4="Sin página"</formula>
    </cfRule>
  </conditionalFormatting>
  <conditionalFormatting sqref="B5">
    <cfRule type="expression" priority="6" aboveAverage="0" equalAverage="0" bottom="0" percent="0" rank="0" text="" dxfId="836">
      <formula>$B5="I"</formula>
    </cfRule>
    <cfRule type="expression" priority="7" aboveAverage="0" equalAverage="0" bottom="0" percent="0" rank="0" text="" dxfId="837">
      <formula>$B5="N"</formula>
    </cfRule>
    <cfRule type="expression" priority="8" aboveAverage="0" equalAverage="0" bottom="0" percent="0" rank="0" text="" dxfId="838">
      <formula>$B5="M"</formula>
    </cfRule>
  </conditionalFormatting>
  <conditionalFormatting sqref="B6">
    <cfRule type="expression" priority="9" aboveAverage="0" equalAverage="0" bottom="0" percent="0" rank="0" text="" dxfId="839">
      <formula>$B6="Bajo"</formula>
    </cfRule>
    <cfRule type="expression" priority="10" aboveAverage="0" equalAverage="0" bottom="0" percent="0" rank="0" text="" dxfId="840">
      <formula>$B6="Medio bajo"</formula>
    </cfRule>
    <cfRule type="expression" priority="11" aboveAverage="0" equalAverage="0" bottom="0" percent="0" rank="0" text="" dxfId="841">
      <formula>$B6="Medio"</formula>
    </cfRule>
    <cfRule type="expression" priority="12" aboveAverage="0" equalAverage="0" bottom="0" percent="0" rank="0" text="" dxfId="842">
      <formula>$B6="Alto"</formula>
    </cfRule>
    <cfRule type="expression" priority="13" aboveAverage="0" equalAverage="0" bottom="0" percent="0" rank="0" text="" dxfId="843">
      <formula>$B6="Muy alto"</formula>
    </cfRule>
  </conditionalFormatting>
  <conditionalFormatting sqref="C17:C316">
    <cfRule type="expression" priority="14" aboveAverage="0" equalAverage="0" bottom="0" percent="0" rank="0" text="" dxfId="844">
      <formula>$C17="Sí"</formula>
    </cfRule>
    <cfRule type="expression" priority="15" aboveAverage="0" equalAverage="0" bottom="0" percent="0" rank="0" text="" dxfId="845">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CS-59 · CREAR UNA CUENTA</v>
      </c>
      <c r="B1" s="9"/>
      <c r="C1" s="9"/>
      <c r="D1" s="9"/>
      <c r="E1" s="9"/>
      <c r="F1" s="10" t="s">
        <v>147</v>
      </c>
    </row>
    <row r="2" customFormat="false" ht="18" hidden="false" customHeight="true" outlineLevel="0" collapsed="false">
      <c r="A2" s="11" t="s">
        <v>3</v>
      </c>
      <c r="B2" s="12" t="s">
        <v>135</v>
      </c>
      <c r="C2" s="12"/>
      <c r="D2" s="12"/>
      <c r="E2" s="12"/>
      <c r="F2" s="12"/>
    </row>
    <row r="3" customFormat="false" ht="15" hidden="false" customHeight="true" outlineLevel="0" collapsed="false">
      <c r="A3" s="11" t="s">
        <v>4</v>
      </c>
      <c r="B3" s="13" t="str">
        <f aca="false">IFERROR(INDEX(Historias[Título],MATCH($B$2,Historias[Ref],0))&amp;"","")</f>
        <v>CREAR UNA CUENTA</v>
      </c>
      <c r="C3" s="13"/>
      <c r="D3" s="13"/>
      <c r="E3" s="13"/>
      <c r="F3" s="13"/>
    </row>
    <row r="4" customFormat="false" ht="15" hidden="false" customHeight="true" outlineLevel="0" collapsed="false">
      <c r="A4" s="11" t="s">
        <v>9</v>
      </c>
      <c r="B4" s="13" t="str">
        <f aca="false">IFERROR(INDEX(Historias[Estado],MATCH($B$2,Historias[Ref],0))&amp;"","")</f>
        <v>Finalizada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4</v>
      </c>
      <c r="C7" s="14"/>
      <c r="D7" s="14"/>
      <c r="E7" s="14"/>
      <c r="F7" s="14"/>
    </row>
    <row r="8" customFormat="false" ht="15" hidden="false" customHeight="true" outlineLevel="0" collapsed="false">
      <c r="A8" s="11" t="s">
        <v>8</v>
      </c>
      <c r="B8" s="14" t="n">
        <f aca="false">SUM(F:F)/60</f>
        <v>0.5</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46296</v>
      </c>
      <c r="C10" s="16"/>
      <c r="D10" s="16"/>
      <c r="E10" s="16"/>
      <c r="F10" s="16"/>
    </row>
    <row r="11" customFormat="false" ht="18" hidden="false" customHeight="true" outlineLevel="0" collapsed="false">
      <c r="A11" s="11" t="s">
        <v>151</v>
      </c>
      <c r="B11" s="15" t="s">
        <v>110</v>
      </c>
      <c r="C11" s="15"/>
      <c r="D11" s="15"/>
      <c r="E11" s="15"/>
      <c r="F11" s="15"/>
    </row>
    <row r="12" customFormat="false" ht="48" hidden="false" customHeight="true" outlineLevel="0" collapsed="false">
      <c r="A12" s="11" t="s">
        <v>153</v>
      </c>
      <c r="B12" s="15" t="s">
        <v>333</v>
      </c>
      <c r="C12" s="15"/>
      <c r="D12" s="15"/>
      <c r="E12" s="15"/>
      <c r="F12" s="15"/>
    </row>
    <row r="13" customFormat="false" ht="78" hidden="false" customHeight="true" outlineLevel="0" collapsed="false">
      <c r="A13" s="11" t="s">
        <v>155</v>
      </c>
      <c r="B13" s="15" t="s">
        <v>334</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IF(Obj_CS59[[#This Row],[Descripción]]="","",ROW()-ROW(Obj_CS59[[#Headers],[Objetivo]]))</f>
        <v>1</v>
      </c>
      <c r="B17" s="21" t="s">
        <v>335</v>
      </c>
      <c r="C17" s="6" t="s">
        <v>281</v>
      </c>
      <c r="D17" s="6"/>
      <c r="E17" s="22"/>
      <c r="F17" s="22"/>
    </row>
    <row r="18" customFormat="false" ht="33" hidden="false" customHeight="true" outlineLevel="0" collapsed="false">
      <c r="A18" s="20" t="n">
        <f aca="false">IF(Obj_CS59[[#This Row],[Descripción]]="","",ROW()-ROW(Obj_CS59[[#Headers],[Objetivo]]))</f>
        <v>2</v>
      </c>
      <c r="B18" s="21" t="s">
        <v>336</v>
      </c>
      <c r="C18" s="6" t="s">
        <v>281</v>
      </c>
      <c r="D18" s="6"/>
      <c r="E18" s="22"/>
      <c r="F18" s="22"/>
    </row>
    <row r="19" customFormat="false" ht="33" hidden="false" customHeight="true" outlineLevel="0" collapsed="false">
      <c r="A19" s="20" t="n">
        <f aca="false">IF(Obj_CS59[[#This Row],[Descripción]]="","",ROW()-ROW(Obj_CS59[[#Headers],[Objetivo]]))</f>
        <v>3</v>
      </c>
      <c r="B19" s="21" t="s">
        <v>337</v>
      </c>
      <c r="C19" s="6" t="s">
        <v>281</v>
      </c>
      <c r="D19" s="6"/>
      <c r="E19" s="22"/>
      <c r="F19" s="22"/>
    </row>
    <row r="20" customFormat="false" ht="33" hidden="false" customHeight="true" outlineLevel="0" collapsed="false">
      <c r="A20" s="20" t="n">
        <f aca="false">IF(Obj_CS59[[#This Row],[Descripción]]="","",ROW()-ROW(Obj_CS59[[#Headers],[Objetivo]]))</f>
        <v>4</v>
      </c>
      <c r="B20" s="21" t="s">
        <v>338</v>
      </c>
      <c r="C20" s="6" t="s">
        <v>281</v>
      </c>
      <c r="D20" s="6"/>
      <c r="E20" s="22"/>
      <c r="F20" s="22" t="n">
        <v>30</v>
      </c>
    </row>
    <row r="21" customFormat="false" ht="33" hidden="false" customHeight="true" outlineLevel="0" collapsed="false">
      <c r="A21" s="20" t="n">
        <f aca="false">IF(Obj_CS59[[#This Row],[Descripción]]="","",ROW()-ROW(Obj_CS59[[#Headers],[Objetivo]]))</f>
        <v>5</v>
      </c>
      <c r="B21" s="21" t="s">
        <v>339</v>
      </c>
      <c r="C21" s="6" t="s">
        <v>281</v>
      </c>
      <c r="D21" s="6"/>
      <c r="E21" s="22" t="n">
        <v>5</v>
      </c>
      <c r="F21" s="22"/>
    </row>
    <row r="22" customFormat="false" ht="33" hidden="false" customHeight="true" outlineLevel="0" collapsed="false">
      <c r="A22" s="20" t="n">
        <f aca="false">IF(Obj_CS59[[#This Row],[Descripción]]="","",ROW()-ROW(Obj_CS59[[#Headers],[Objetivo]]))</f>
        <v>6</v>
      </c>
      <c r="B22" s="21" t="s">
        <v>340</v>
      </c>
      <c r="C22" s="6" t="s">
        <v>281</v>
      </c>
      <c r="D22" s="6"/>
      <c r="E22" s="22" t="n">
        <v>5</v>
      </c>
      <c r="F22" s="22"/>
    </row>
    <row r="23" customFormat="false" ht="33" hidden="false" customHeight="true" outlineLevel="0" collapsed="false">
      <c r="A23" s="20" t="n">
        <f aca="false">IF(Obj_CS59[[#This Row],[Descripción]]="","",ROW()-ROW(Obj_CS59[[#Headers],[Objetivo]]))</f>
        <v>7</v>
      </c>
      <c r="B23" s="21" t="s">
        <v>341</v>
      </c>
      <c r="C23" s="6" t="s">
        <v>281</v>
      </c>
      <c r="D23" s="6"/>
      <c r="E23" s="22" t="n">
        <v>5</v>
      </c>
      <c r="F23"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46">
      <formula>$B4="En progreso"</formula>
    </cfRule>
    <cfRule type="expression" priority="3" aboveAverage="0" equalAverage="0" bottom="0" percent="0" rank="0" text="" dxfId="847">
      <formula>$B4="En espera"</formula>
    </cfRule>
    <cfRule type="expression" priority="4" aboveAverage="0" equalAverage="0" bottom="0" percent="0" rank="0" text="" dxfId="848">
      <formula>$B4="Finalizada"</formula>
    </cfRule>
    <cfRule type="expression" priority="5" aboveAverage="0" equalAverage="0" bottom="0" percent="0" rank="0" text="" dxfId="849">
      <formula>$B4="Sin página"</formula>
    </cfRule>
  </conditionalFormatting>
  <conditionalFormatting sqref="B5">
    <cfRule type="expression" priority="6" aboveAverage="0" equalAverage="0" bottom="0" percent="0" rank="0" text="" dxfId="850">
      <formula>$B5="I"</formula>
    </cfRule>
    <cfRule type="expression" priority="7" aboveAverage="0" equalAverage="0" bottom="0" percent="0" rank="0" text="" dxfId="851">
      <formula>$B5="N"</formula>
    </cfRule>
    <cfRule type="expression" priority="8" aboveAverage="0" equalAverage="0" bottom="0" percent="0" rank="0" text="" dxfId="852">
      <formula>$B5="M"</formula>
    </cfRule>
  </conditionalFormatting>
  <conditionalFormatting sqref="B6">
    <cfRule type="expression" priority="9" aboveAverage="0" equalAverage="0" bottom="0" percent="0" rank="0" text="" dxfId="853">
      <formula>$B6="Bajo"</formula>
    </cfRule>
    <cfRule type="expression" priority="10" aboveAverage="0" equalAverage="0" bottom="0" percent="0" rank="0" text="" dxfId="854">
      <formula>$B6="Medio bajo"</formula>
    </cfRule>
    <cfRule type="expression" priority="11" aboveAverage="0" equalAverage="0" bottom="0" percent="0" rank="0" text="" dxfId="855">
      <formula>$B6="Medio"</formula>
    </cfRule>
    <cfRule type="expression" priority="12" aboveAverage="0" equalAverage="0" bottom="0" percent="0" rank="0" text="" dxfId="856">
      <formula>$B6="Alto"</formula>
    </cfRule>
    <cfRule type="expression" priority="13" aboveAverage="0" equalAverage="0" bottom="0" percent="0" rank="0" text="" dxfId="857">
      <formula>$B6="Muy alto"</formula>
    </cfRule>
  </conditionalFormatting>
  <conditionalFormatting sqref="C17:C316">
    <cfRule type="expression" priority="14" aboveAverage="0" equalAverage="0" bottom="0" percent="0" rank="0" text="" dxfId="858">
      <formula>$C17="Sí"</formula>
    </cfRule>
    <cfRule type="expression" priority="15" aboveAverage="0" equalAverage="0" bottom="0" percent="0" rank="0" text="" dxfId="859">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 activeCellId="0" sqref="F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CS-60 · METODOLOGÍA</v>
      </c>
      <c r="B1" s="9"/>
      <c r="C1" s="9"/>
      <c r="D1" s="9"/>
      <c r="E1" s="9"/>
      <c r="F1" s="10" t="s">
        <v>147</v>
      </c>
    </row>
    <row r="2" customFormat="false" ht="18" hidden="false" customHeight="true" outlineLevel="0" collapsed="false">
      <c r="A2" s="11" t="s">
        <v>3</v>
      </c>
      <c r="B2" s="12" t="s">
        <v>137</v>
      </c>
      <c r="C2" s="12"/>
      <c r="D2" s="12"/>
      <c r="E2" s="12"/>
      <c r="F2" s="12"/>
    </row>
    <row r="3" customFormat="false" ht="15" hidden="false" customHeight="true" outlineLevel="0" collapsed="false">
      <c r="A3" s="11" t="s">
        <v>4</v>
      </c>
      <c r="B3" s="13" t="str">
        <f aca="false">IFERROR(INDEX(Historias[Título],MATCH($B$2,Historias[Ref],0))&amp;"","")</f>
        <v>METODOLOGÍA</v>
      </c>
      <c r="C3" s="13"/>
      <c r="D3" s="13"/>
      <c r="E3" s="13"/>
      <c r="F3" s="13"/>
    </row>
    <row r="4" customFormat="false" ht="15" hidden="false" customHeight="true" outlineLevel="0" collapsed="false">
      <c r="A4" s="11" t="s">
        <v>9</v>
      </c>
      <c r="B4" s="13" t="str">
        <f aca="false">IFERROR(INDEX(Historias[Estado],MATCH($B$2,Historias[Ref],0))&amp;"","")</f>
        <v>En progreso</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Bajo</v>
      </c>
      <c r="C6" s="13"/>
      <c r="D6" s="13"/>
      <c r="E6" s="13"/>
      <c r="F6" s="13"/>
    </row>
    <row r="7" customFormat="false" ht="15" hidden="false" customHeight="true" outlineLevel="0" collapsed="false">
      <c r="A7" s="11" t="s">
        <v>7</v>
      </c>
      <c r="B7" s="14" t="n">
        <f aca="false">IFERROR(INDEX(Historias[Tiempo estimado],MATCH($B$2,Historias[Ref],0)),"")</f>
        <v>1</v>
      </c>
      <c r="C7" s="14"/>
      <c r="D7" s="14"/>
      <c r="E7" s="14"/>
      <c r="F7" s="14"/>
    </row>
    <row r="8" customFormat="false" ht="15" hidden="false" customHeight="true" outlineLevel="0" collapsed="false">
      <c r="A8" s="11" t="s">
        <v>8</v>
      </c>
      <c r="B8" s="14" t="n">
        <f aca="false">SUM(F:F)/60</f>
        <v>1.25</v>
      </c>
      <c r="C8" s="14"/>
      <c r="D8" s="14"/>
      <c r="E8" s="14"/>
      <c r="F8" s="14"/>
    </row>
    <row r="9" customFormat="false" ht="18" hidden="false" customHeight="true" outlineLevel="0" collapsed="false">
      <c r="A9" s="11" t="s">
        <v>148</v>
      </c>
      <c r="B9" s="15" t="s">
        <v>223</v>
      </c>
      <c r="C9" s="15"/>
      <c r="D9" s="15"/>
      <c r="E9" s="15"/>
      <c r="F9" s="15"/>
    </row>
    <row r="10" customFormat="false" ht="18" hidden="false" customHeight="true" outlineLevel="0" collapsed="false">
      <c r="A10" s="11" t="s">
        <v>150</v>
      </c>
      <c r="B10" s="16" t="n">
        <v>46297</v>
      </c>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t="s">
        <v>342</v>
      </c>
      <c r="C12" s="15"/>
      <c r="D12" s="15"/>
      <c r="E12" s="15"/>
      <c r="F12" s="15"/>
    </row>
    <row r="13" customFormat="false" ht="45" hidden="false" customHeight="true" outlineLevel="0" collapsed="false">
      <c r="A13" s="11" t="s">
        <v>155</v>
      </c>
      <c r="B13" s="15"/>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IF(Obj_CS60[[#This Row],[Descripción]]="","",ROW()-ROW(Obj_CS60[[#Headers],[Objetivo]]))</f>
        <v>1</v>
      </c>
      <c r="B17" s="21" t="s">
        <v>343</v>
      </c>
      <c r="C17" s="6" t="s">
        <v>326</v>
      </c>
      <c r="D17" s="6" t="s">
        <v>223</v>
      </c>
      <c r="E17" s="22" t="n">
        <v>30</v>
      </c>
      <c r="F17" s="22" t="n">
        <v>75</v>
      </c>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60">
      <formula>$B4="En progreso"</formula>
    </cfRule>
    <cfRule type="expression" priority="3" aboveAverage="0" equalAverage="0" bottom="0" percent="0" rank="0" text="" dxfId="861">
      <formula>$B4="En espera"</formula>
    </cfRule>
    <cfRule type="expression" priority="4" aboveAverage="0" equalAverage="0" bottom="0" percent="0" rank="0" text="" dxfId="862">
      <formula>$B4="Finalizada"</formula>
    </cfRule>
    <cfRule type="expression" priority="5" aboveAverage="0" equalAverage="0" bottom="0" percent="0" rank="0" text="" dxfId="863">
      <formula>$B4="Sin página"</formula>
    </cfRule>
  </conditionalFormatting>
  <conditionalFormatting sqref="B5">
    <cfRule type="expression" priority="6" aboveAverage="0" equalAverage="0" bottom="0" percent="0" rank="0" text="" dxfId="864">
      <formula>$B5="I"</formula>
    </cfRule>
    <cfRule type="expression" priority="7" aboveAverage="0" equalAverage="0" bottom="0" percent="0" rank="0" text="" dxfId="865">
      <formula>$B5="N"</formula>
    </cfRule>
    <cfRule type="expression" priority="8" aboveAverage="0" equalAverage="0" bottom="0" percent="0" rank="0" text="" dxfId="866">
      <formula>$B5="M"</formula>
    </cfRule>
  </conditionalFormatting>
  <conditionalFormatting sqref="B6">
    <cfRule type="expression" priority="9" aboveAverage="0" equalAverage="0" bottom="0" percent="0" rank="0" text="" dxfId="867">
      <formula>$B6="Bajo"</formula>
    </cfRule>
    <cfRule type="expression" priority="10" aboveAverage="0" equalAverage="0" bottom="0" percent="0" rank="0" text="" dxfId="868">
      <formula>$B6="Medio bajo"</formula>
    </cfRule>
    <cfRule type="expression" priority="11" aboveAverage="0" equalAverage="0" bottom="0" percent="0" rank="0" text="" dxfId="869">
      <formula>$B6="Medio"</formula>
    </cfRule>
    <cfRule type="expression" priority="12" aboveAverage="0" equalAverage="0" bottom="0" percent="0" rank="0" text="" dxfId="870">
      <formula>$B6="Alto"</formula>
    </cfRule>
    <cfRule type="expression" priority="13" aboveAverage="0" equalAverage="0" bottom="0" percent="0" rank="0" text="" dxfId="871">
      <formula>$B6="Muy alto"</formula>
    </cfRule>
  </conditionalFormatting>
  <conditionalFormatting sqref="C17:C316">
    <cfRule type="expression" priority="14" aboveAverage="0" equalAverage="0" bottom="0" percent="0" rank="0" text="" dxfId="872">
      <formula>$C17="Sí"</formula>
    </cfRule>
    <cfRule type="expression" priority="15" aboveAverage="0" equalAverage="0" bottom="0" percent="0" rank="0" text="" dxfId="873">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CS-61 · AMISTADES Y SEGUIDORES</v>
      </c>
      <c r="B1" s="9"/>
      <c r="C1" s="9"/>
      <c r="D1" s="9"/>
      <c r="E1" s="9"/>
      <c r="F1" s="10" t="s">
        <v>147</v>
      </c>
    </row>
    <row r="2" customFormat="false" ht="15" hidden="false" customHeight="true" outlineLevel="0" collapsed="false">
      <c r="A2" s="11" t="s">
        <v>3</v>
      </c>
      <c r="B2" s="12" t="s">
        <v>139</v>
      </c>
      <c r="C2" s="12"/>
      <c r="D2" s="12"/>
      <c r="E2" s="12"/>
      <c r="F2" s="12"/>
    </row>
    <row r="3" customFormat="false" ht="15" hidden="false" customHeight="true" outlineLevel="0" collapsed="false">
      <c r="A3" s="11" t="s">
        <v>4</v>
      </c>
      <c r="B3" s="13" t="str">
        <f aca="false">IFERROR(INDEX(Historias[Título],MATCH($B$2,Historias[Ref],0))&amp;"","")</f>
        <v>AMISTADES Y SEGUIDORES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5" hidden="false" customHeight="true" outlineLevel="0" collapsed="false">
      <c r="A9" s="11" t="s">
        <v>148</v>
      </c>
      <c r="B9" s="15"/>
      <c r="C9" s="15"/>
      <c r="D9" s="15"/>
      <c r="E9" s="15"/>
      <c r="F9" s="15"/>
    </row>
    <row r="10" customFormat="false" ht="15" hidden="false" customHeight="true" outlineLevel="0" collapsed="false">
      <c r="A10" s="11" t="s">
        <v>150</v>
      </c>
      <c r="B10" s="16" t="n">
        <v>46300</v>
      </c>
      <c r="C10" s="16"/>
      <c r="D10" s="16"/>
      <c r="E10" s="16"/>
      <c r="F10" s="16"/>
    </row>
    <row r="11" customFormat="false" ht="15" hidden="false" customHeight="true" outlineLevel="0" collapsed="false">
      <c r="A11" s="11" t="s">
        <v>151</v>
      </c>
      <c r="B11" s="15" t="s">
        <v>344</v>
      </c>
      <c r="C11" s="15"/>
      <c r="D11" s="15"/>
      <c r="E11" s="15"/>
      <c r="F11" s="15"/>
    </row>
    <row r="12" customFormat="false" ht="78" hidden="false" customHeight="true" outlineLevel="0" collapsed="false">
      <c r="A12" s="11" t="s">
        <v>153</v>
      </c>
      <c r="B12" s="15" t="s">
        <v>345</v>
      </c>
      <c r="C12" s="15"/>
      <c r="D12" s="15"/>
      <c r="E12" s="15"/>
      <c r="F12" s="15"/>
    </row>
    <row r="13" customFormat="false" ht="123" hidden="false" customHeight="true" outlineLevel="0" collapsed="false">
      <c r="A13" s="11" t="s">
        <v>155</v>
      </c>
      <c r="B13" s="15" t="s">
        <v>346</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48" hidden="false" customHeight="true" outlineLevel="0" collapsed="false">
      <c r="A17" s="20" t="n">
        <f aca="false">IF(Obj_CS61[[#This Row],[Descripción]]="","",ROW()-ROW(Obj_CS61[[#Headers],[Objetivo]]))</f>
        <v>1</v>
      </c>
      <c r="B17" s="21" t="s">
        <v>347</v>
      </c>
      <c r="C17" s="6"/>
      <c r="D17" s="6"/>
      <c r="E17" s="22"/>
      <c r="F17" s="22"/>
    </row>
    <row r="18" customFormat="false" ht="33" hidden="false" customHeight="true" outlineLevel="0" collapsed="false">
      <c r="A18" s="20" t="n">
        <f aca="false">IF(Obj_CS61[[#This Row],[Descripción]]="","",ROW()-ROW(Obj_CS61[[#Headers],[Objetivo]]))</f>
        <v>2</v>
      </c>
      <c r="B18" s="21" t="s">
        <v>348</v>
      </c>
      <c r="C18" s="6"/>
      <c r="D18" s="6"/>
      <c r="E18" s="22"/>
      <c r="F18" s="22"/>
    </row>
    <row r="19" customFormat="false" ht="48" hidden="false" customHeight="true" outlineLevel="0" collapsed="false">
      <c r="A19" s="20" t="n">
        <f aca="false">IF(Obj_CS61[[#This Row],[Descripción]]="","",ROW()-ROW(Obj_CS61[[#Headers],[Objetivo]]))</f>
        <v>3</v>
      </c>
      <c r="B19" s="21" t="s">
        <v>349</v>
      </c>
      <c r="C19" s="6"/>
      <c r="D19" s="6"/>
      <c r="E19" s="22"/>
      <c r="F19" s="22"/>
    </row>
    <row r="20" customFormat="false" ht="33" hidden="false" customHeight="true" outlineLevel="0" collapsed="false">
      <c r="A20" s="20" t="n">
        <f aca="false">IF(Obj_CS61[[#This Row],[Descripción]]="","",ROW()-ROW(Obj_CS61[[#Headers],[Objetivo]]))</f>
        <v>4</v>
      </c>
      <c r="B20" s="21" t="s">
        <v>350</v>
      </c>
      <c r="C20" s="6"/>
      <c r="D20" s="6"/>
      <c r="E20" s="22"/>
      <c r="F20" s="22"/>
    </row>
    <row r="21" customFormat="false" ht="33" hidden="false" customHeight="true" outlineLevel="0" collapsed="false">
      <c r="A21" s="20" t="n">
        <f aca="false">IF(Obj_CS61[[#This Row],[Descripción]]="","",ROW()-ROW(Obj_CS61[[#Headers],[Objetivo]]))</f>
        <v>5</v>
      </c>
      <c r="B21" s="21" t="s">
        <v>351</v>
      </c>
      <c r="C21" s="6"/>
      <c r="D21" s="6"/>
      <c r="E21" s="22"/>
      <c r="F21" s="22"/>
    </row>
    <row r="22" customFormat="false" ht="33" hidden="false" customHeight="true" outlineLevel="0" collapsed="false">
      <c r="A22" s="20" t="n">
        <f aca="false">IF(Obj_CS61[[#This Row],[Descripción]]="","",ROW()-ROW(Obj_CS61[[#Headers],[Objetivo]]))</f>
        <v>6</v>
      </c>
      <c r="B22" s="21" t="s">
        <v>352</v>
      </c>
      <c r="C22" s="6"/>
      <c r="D22" s="6"/>
      <c r="E22" s="22"/>
      <c r="F22" s="22"/>
    </row>
    <row r="23" customFormat="false" ht="33" hidden="false" customHeight="true" outlineLevel="0" collapsed="false">
      <c r="A23" s="20" t="n">
        <f aca="false">IF(Obj_CS61[[#This Row],[Descripción]]="","",ROW()-ROW(Obj_CS61[[#Headers],[Objetivo]]))</f>
        <v>7</v>
      </c>
      <c r="B23" s="21" t="s">
        <v>353</v>
      </c>
      <c r="C23" s="6"/>
      <c r="D23" s="6"/>
      <c r="E23" s="22"/>
      <c r="F23" s="22"/>
    </row>
    <row r="24" customFormat="false" ht="33" hidden="false" customHeight="true" outlineLevel="0" collapsed="false">
      <c r="A24" s="20" t="n">
        <f aca="false">IF(Obj_CS61[[#This Row],[Descripción]]="","",ROW()-ROW(Obj_CS61[[#Headers],[Objetivo]]))</f>
        <v>8</v>
      </c>
      <c r="B24" s="21" t="s">
        <v>354</v>
      </c>
      <c r="C24" s="6"/>
      <c r="D24" s="6"/>
      <c r="E24" s="22"/>
      <c r="F24" s="22"/>
    </row>
    <row r="25" customFormat="false" ht="33" hidden="false" customHeight="true" outlineLevel="0" collapsed="false">
      <c r="A25" s="20" t="n">
        <f aca="false">IF(Obj_CS61[[#This Row],[Descripción]]="","",ROW()-ROW(Obj_CS61[[#Headers],[Objetivo]]))</f>
        <v>9</v>
      </c>
      <c r="B25" s="21" t="s">
        <v>355</v>
      </c>
      <c r="C25" s="6"/>
      <c r="D25" s="6"/>
      <c r="E25" s="22"/>
      <c r="F25" s="22"/>
    </row>
    <row r="26" customFormat="false" ht="33" hidden="false" customHeight="true" outlineLevel="0" collapsed="false">
      <c r="A26" s="20" t="n">
        <f aca="false">IF(Obj_CS61[[#This Row],[Descripción]]="","",ROW()-ROW(Obj_CS61[[#Headers],[Objetivo]]))</f>
        <v>10</v>
      </c>
      <c r="B26" s="21" t="s">
        <v>356</v>
      </c>
      <c r="C26" s="6"/>
      <c r="D26" s="6"/>
      <c r="E26" s="22"/>
      <c r="F26" s="22"/>
    </row>
    <row r="27" customFormat="false" ht="33" hidden="false" customHeight="true" outlineLevel="0" collapsed="false">
      <c r="A27" s="20" t="n">
        <f aca="false">IF(Obj_CS61[[#This Row],[Descripción]]="","",ROW()-ROW(Obj_CS61[[#Headers],[Objetivo]]))</f>
        <v>11</v>
      </c>
      <c r="B27" s="21" t="s">
        <v>357</v>
      </c>
      <c r="C27" s="6"/>
      <c r="D27" s="6"/>
      <c r="E27" s="22"/>
      <c r="F27" s="22"/>
    </row>
    <row r="28" customFormat="false" ht="33" hidden="false" customHeight="true" outlineLevel="0" collapsed="false">
      <c r="A28" s="20" t="n">
        <f aca="false">IF(Obj_CS61[[#This Row],[Descripción]]="","",ROW()-ROW(Obj_CS61[[#Headers],[Objetivo]]))</f>
        <v>12</v>
      </c>
      <c r="B28" s="21" t="s">
        <v>358</v>
      </c>
      <c r="C28" s="6"/>
      <c r="D28" s="6"/>
      <c r="E28" s="22"/>
      <c r="F28" s="22"/>
    </row>
    <row r="29" customFormat="false" ht="33" hidden="false" customHeight="true" outlineLevel="0" collapsed="false">
      <c r="A29" s="20" t="n">
        <f aca="false">IF(Obj_CS61[[#This Row],[Descripción]]="","",ROW()-ROW(Obj_CS61[[#Headers],[Objetivo]]))</f>
        <v>13</v>
      </c>
      <c r="B29" s="21" t="s">
        <v>359</v>
      </c>
      <c r="C29" s="6"/>
      <c r="D29" s="6"/>
      <c r="E29" s="22"/>
      <c r="F29" s="22"/>
    </row>
    <row r="30" customFormat="false" ht="18" hidden="false" customHeight="true" outlineLevel="0" collapsed="false">
      <c r="A30" s="20" t="n">
        <f aca="false">IF(Obj_CS61[[#This Row],[Descripción]]="","",ROW()-ROW(Obj_CS61[[#Headers],[Objetivo]]))</f>
        <v>14</v>
      </c>
      <c r="B30" s="21" t="s">
        <v>360</v>
      </c>
      <c r="C30" s="6"/>
      <c r="D30" s="6"/>
      <c r="E30" s="22"/>
      <c r="F30" s="22"/>
    </row>
    <row r="31" customFormat="false" ht="33" hidden="false" customHeight="true" outlineLevel="0" collapsed="false">
      <c r="A31" s="20" t="n">
        <f aca="false">IF(Obj_CS61[[#This Row],[Descripción]]="","",ROW()-ROW(Obj_CS61[[#Headers],[Objetivo]]))</f>
        <v>15</v>
      </c>
      <c r="B31" s="21" t="s">
        <v>361</v>
      </c>
      <c r="C31" s="6"/>
      <c r="D31" s="6"/>
      <c r="E31" s="22"/>
      <c r="F31" s="22"/>
    </row>
    <row r="32" customFormat="false" ht="18" hidden="false" customHeight="true" outlineLevel="0" collapsed="false">
      <c r="A32" s="20" t="n">
        <f aca="false">IF(Obj_CS61[[#This Row],[Descripción]]="","",ROW()-ROW(Obj_CS61[[#Headers],[Objetivo]]))</f>
        <v>16</v>
      </c>
      <c r="B32" s="21" t="s">
        <v>362</v>
      </c>
      <c r="C32" s="6"/>
      <c r="D32" s="6"/>
      <c r="E32" s="22"/>
      <c r="F32"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74">
      <formula>$B4="En progreso"</formula>
    </cfRule>
    <cfRule type="expression" priority="3" aboveAverage="0" equalAverage="0" bottom="0" percent="0" rank="0" text="" dxfId="875">
      <formula>$B4="En espera"</formula>
    </cfRule>
    <cfRule type="expression" priority="4" aboveAverage="0" equalAverage="0" bottom="0" percent="0" rank="0" text="" dxfId="876">
      <formula>$B4="Finalizada"</formula>
    </cfRule>
    <cfRule type="expression" priority="5" aboveAverage="0" equalAverage="0" bottom="0" percent="0" rank="0" text="" dxfId="877">
      <formula>$B4="Sin página"</formula>
    </cfRule>
  </conditionalFormatting>
  <conditionalFormatting sqref="B5">
    <cfRule type="expression" priority="6" aboveAverage="0" equalAverage="0" bottom="0" percent="0" rank="0" text="" dxfId="878">
      <formula>$B5="I"</formula>
    </cfRule>
    <cfRule type="expression" priority="7" aboveAverage="0" equalAverage="0" bottom="0" percent="0" rank="0" text="" dxfId="879">
      <formula>$B5="N"</formula>
    </cfRule>
    <cfRule type="expression" priority="8" aboveAverage="0" equalAverage="0" bottom="0" percent="0" rank="0" text="" dxfId="880">
      <formula>$B5="M"</formula>
    </cfRule>
  </conditionalFormatting>
  <conditionalFormatting sqref="B6">
    <cfRule type="expression" priority="9" aboveAverage="0" equalAverage="0" bottom="0" percent="0" rank="0" text="" dxfId="881">
      <formula>$B6="Bajo"</formula>
    </cfRule>
    <cfRule type="expression" priority="10" aboveAverage="0" equalAverage="0" bottom="0" percent="0" rank="0" text="" dxfId="882">
      <formula>$B6="Medio bajo"</formula>
    </cfRule>
    <cfRule type="expression" priority="11" aboveAverage="0" equalAverage="0" bottom="0" percent="0" rank="0" text="" dxfId="883">
      <formula>$B6="Medio"</formula>
    </cfRule>
    <cfRule type="expression" priority="12" aboveAverage="0" equalAverage="0" bottom="0" percent="0" rank="0" text="" dxfId="884">
      <formula>$B6="Alto"</formula>
    </cfRule>
    <cfRule type="expression" priority="13" aboveAverage="0" equalAverage="0" bottom="0" percent="0" rank="0" text="" dxfId="885">
      <formula>$B6="Muy alto"</formula>
    </cfRule>
  </conditionalFormatting>
  <conditionalFormatting sqref="C17:C316">
    <cfRule type="expression" priority="14" aboveAverage="0" equalAverage="0" bottom="0" percent="0" rank="0" text="" dxfId="886">
      <formula>$C17="Sí"</formula>
    </cfRule>
    <cfRule type="expression" priority="15" aboveAverage="0" equalAverage="0" bottom="0" percent="0" rank="0" text="" dxfId="8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CS-62 · PERFIL DE OTRO USUARIO</v>
      </c>
      <c r="B1" s="9"/>
      <c r="C1" s="9"/>
      <c r="D1" s="9"/>
      <c r="E1" s="9"/>
      <c r="F1" s="10" t="s">
        <v>147</v>
      </c>
    </row>
    <row r="2" customFormat="false" ht="15" hidden="false" customHeight="true" outlineLevel="0" collapsed="false">
      <c r="A2" s="11" t="s">
        <v>3</v>
      </c>
      <c r="B2" s="12" t="s">
        <v>141</v>
      </c>
      <c r="C2" s="12"/>
      <c r="D2" s="12"/>
      <c r="E2" s="12"/>
      <c r="F2" s="12"/>
    </row>
    <row r="3" customFormat="false" ht="15" hidden="false" customHeight="true" outlineLevel="0" collapsed="false">
      <c r="A3" s="11" t="s">
        <v>4</v>
      </c>
      <c r="B3" s="13" t="str">
        <f aca="false">IFERROR(INDEX(Historias[Título],MATCH($B$2,Historias[Ref],0))&amp;"","")</f>
        <v>PERFIL DE OTRO USUARIO</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I</v>
      </c>
      <c r="C5" s="13"/>
      <c r="D5" s="13"/>
      <c r="E5" s="13"/>
      <c r="F5" s="13"/>
    </row>
    <row r="6" customFormat="false" ht="15" hidden="false" customHeight="true" outlineLevel="0" collapsed="false">
      <c r="A6" s="11" t="s">
        <v>5</v>
      </c>
      <c r="B6" s="13" t="str">
        <f aca="false">IFERROR(INDEX(Historias[Riesgo],MATCH($B$2,Historias[Ref],0))&amp;"","")</f>
        <v>Medio bajo</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5" hidden="false" customHeight="true" outlineLevel="0" collapsed="false">
      <c r="A9" s="11" t="s">
        <v>148</v>
      </c>
      <c r="B9" s="15"/>
      <c r="C9" s="15"/>
      <c r="D9" s="15"/>
      <c r="E9" s="15"/>
      <c r="F9" s="15"/>
    </row>
    <row r="10" customFormat="false" ht="15" hidden="false" customHeight="true" outlineLevel="0" collapsed="false">
      <c r="A10" s="11" t="s">
        <v>150</v>
      </c>
      <c r="B10" s="16" t="n">
        <v>46300</v>
      </c>
      <c r="C10" s="16"/>
      <c r="D10" s="16"/>
      <c r="E10" s="16"/>
      <c r="F10" s="16"/>
    </row>
    <row r="11" customFormat="false" ht="15" hidden="false" customHeight="true" outlineLevel="0" collapsed="false">
      <c r="A11" s="11" t="s">
        <v>151</v>
      </c>
      <c r="B11" s="15" t="s">
        <v>363</v>
      </c>
      <c r="C11" s="15"/>
      <c r="D11" s="15"/>
      <c r="E11" s="15"/>
      <c r="F11" s="15"/>
    </row>
    <row r="12" customFormat="false" ht="63" hidden="false" customHeight="true" outlineLevel="0" collapsed="false">
      <c r="A12" s="11" t="s">
        <v>153</v>
      </c>
      <c r="B12" s="15" t="s">
        <v>364</v>
      </c>
      <c r="C12" s="15"/>
      <c r="D12" s="15"/>
      <c r="E12" s="15"/>
      <c r="F12" s="15"/>
    </row>
    <row r="13" customFormat="false" ht="123" hidden="false" customHeight="true" outlineLevel="0" collapsed="false">
      <c r="A13" s="11" t="s">
        <v>155</v>
      </c>
      <c r="B13" s="15" t="s">
        <v>365</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IF(Obj_CS62[[#This Row],[Descripción]]="","",ROW()-ROW(Obj_CS62[[#Headers],[Objetivo]]))</f>
        <v>1</v>
      </c>
      <c r="B17" s="21" t="s">
        <v>366</v>
      </c>
      <c r="C17" s="6"/>
      <c r="D17" s="6"/>
      <c r="E17" s="22"/>
      <c r="F17" s="22"/>
    </row>
    <row r="18" customFormat="false" ht="33" hidden="false" customHeight="true" outlineLevel="0" collapsed="false">
      <c r="A18" s="20" t="n">
        <f aca="false">IF(Obj_CS62[[#This Row],[Descripción]]="","",ROW()-ROW(Obj_CS62[[#Headers],[Objetivo]]))</f>
        <v>2</v>
      </c>
      <c r="B18" s="21" t="s">
        <v>367</v>
      </c>
      <c r="C18" s="6"/>
      <c r="D18" s="6"/>
      <c r="E18" s="22"/>
      <c r="F18" s="22"/>
    </row>
    <row r="19" customFormat="false" ht="18" hidden="false" customHeight="true" outlineLevel="0" collapsed="false">
      <c r="A19" s="20" t="n">
        <f aca="false">IF(Obj_CS62[[#This Row],[Descripción]]="","",ROW()-ROW(Obj_CS62[[#Headers],[Objetivo]]))</f>
        <v>3</v>
      </c>
      <c r="B19" s="21" t="s">
        <v>368</v>
      </c>
      <c r="C19" s="6"/>
      <c r="D19" s="6"/>
      <c r="E19" s="22"/>
      <c r="F19" s="22"/>
    </row>
    <row r="20" customFormat="false" ht="33" hidden="false" customHeight="true" outlineLevel="0" collapsed="false">
      <c r="A20" s="20" t="n">
        <f aca="false">IF(Obj_CS62[[#This Row],[Descripción]]="","",ROW()-ROW(Obj_CS62[[#Headers],[Objetivo]]))</f>
        <v>4</v>
      </c>
      <c r="B20" s="21" t="s">
        <v>369</v>
      </c>
      <c r="C20" s="6"/>
      <c r="D20" s="6"/>
      <c r="E20" s="22"/>
      <c r="F20" s="22"/>
    </row>
    <row r="21" customFormat="false" ht="33" hidden="false" customHeight="true" outlineLevel="0" collapsed="false">
      <c r="A21" s="20" t="n">
        <f aca="false">IF(Obj_CS62[[#This Row],[Descripción]]="","",ROW()-ROW(Obj_CS62[[#Headers],[Objetivo]]))</f>
        <v>5</v>
      </c>
      <c r="B21" s="21" t="s">
        <v>370</v>
      </c>
      <c r="C21" s="6"/>
      <c r="D21" s="6"/>
      <c r="E21" s="22"/>
      <c r="F21" s="22"/>
    </row>
    <row r="22" customFormat="false" ht="33" hidden="false" customHeight="true" outlineLevel="0" collapsed="false">
      <c r="A22" s="20" t="n">
        <f aca="false">IF(Obj_CS62[[#This Row],[Descripción]]="","",ROW()-ROW(Obj_CS62[[#Headers],[Objetivo]]))</f>
        <v>6</v>
      </c>
      <c r="B22" s="21" t="s">
        <v>371</v>
      </c>
      <c r="C22" s="6"/>
      <c r="D22" s="6"/>
      <c r="E22" s="22"/>
      <c r="F22" s="22"/>
    </row>
    <row r="23" customFormat="false" ht="18" hidden="false" customHeight="true" outlineLevel="0" collapsed="false">
      <c r="A23" s="20" t="n">
        <f aca="false">IF(Obj_CS62[[#This Row],[Descripción]]="","",ROW()-ROW(Obj_CS62[[#Headers],[Objetivo]]))</f>
        <v>7</v>
      </c>
      <c r="B23" s="21" t="s">
        <v>372</v>
      </c>
      <c r="C23" s="6"/>
      <c r="D23" s="6"/>
      <c r="E23" s="22"/>
      <c r="F23" s="22"/>
    </row>
    <row r="24" customFormat="false" ht="33" hidden="false" customHeight="true" outlineLevel="0" collapsed="false">
      <c r="A24" s="20" t="n">
        <f aca="false">IF(Obj_CS62[[#This Row],[Descripción]]="","",ROW()-ROW(Obj_CS62[[#Headers],[Objetivo]]))</f>
        <v>8</v>
      </c>
      <c r="B24" s="21" t="s">
        <v>373</v>
      </c>
      <c r="C24" s="6"/>
      <c r="D24" s="6"/>
      <c r="E24" s="22"/>
      <c r="F24" s="22"/>
    </row>
    <row r="25" customFormat="false" ht="33" hidden="false" customHeight="true" outlineLevel="0" collapsed="false">
      <c r="A25" s="20" t="n">
        <f aca="false">IF(Obj_CS62[[#This Row],[Descripción]]="","",ROW()-ROW(Obj_CS62[[#Headers],[Objetivo]]))</f>
        <v>9</v>
      </c>
      <c r="B25" s="21" t="s">
        <v>374</v>
      </c>
      <c r="C25" s="6"/>
      <c r="D25" s="6"/>
      <c r="E25" s="22"/>
      <c r="F25" s="22"/>
    </row>
    <row r="26" customFormat="false" ht="33" hidden="false" customHeight="true" outlineLevel="0" collapsed="false">
      <c r="A26" s="20" t="n">
        <f aca="false">IF(Obj_CS62[[#This Row],[Descripción]]="","",ROW()-ROW(Obj_CS62[[#Headers],[Objetivo]]))</f>
        <v>10</v>
      </c>
      <c r="B26" s="21" t="s">
        <v>375</v>
      </c>
      <c r="C26" s="6"/>
      <c r="D26" s="6"/>
      <c r="E26" s="22"/>
      <c r="F26" s="22"/>
    </row>
    <row r="27" customFormat="false" ht="33" hidden="false" customHeight="true" outlineLevel="0" collapsed="false">
      <c r="A27" s="20" t="n">
        <f aca="false">IF(Obj_CS62[[#This Row],[Descripción]]="","",ROW()-ROW(Obj_CS62[[#Headers],[Objetivo]]))</f>
        <v>11</v>
      </c>
      <c r="B27" s="21" t="s">
        <v>376</v>
      </c>
      <c r="C27" s="6"/>
      <c r="D27" s="6"/>
      <c r="E27" s="22"/>
      <c r="F27" s="22"/>
    </row>
    <row r="28" customFormat="false" ht="18" hidden="false" customHeight="true" outlineLevel="0" collapsed="false">
      <c r="A28" s="20" t="n">
        <f aca="false">IF(Obj_CS62[[#This Row],[Descripción]]="","",ROW()-ROW(Obj_CS62[[#Headers],[Objetivo]]))</f>
        <v>12</v>
      </c>
      <c r="B28" s="21" t="s">
        <v>362</v>
      </c>
      <c r="C28" s="6"/>
      <c r="D28" s="6"/>
      <c r="E28" s="22"/>
      <c r="F28"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74">
      <formula>$B4="En progreso"</formula>
    </cfRule>
    <cfRule type="expression" priority="3" aboveAverage="0" equalAverage="0" bottom="0" percent="0" rank="0" text="" dxfId="875">
      <formula>$B4="En espera"</formula>
    </cfRule>
    <cfRule type="expression" priority="4" aboveAverage="0" equalAverage="0" bottom="0" percent="0" rank="0" text="" dxfId="876">
      <formula>$B4="Finalizada"</formula>
    </cfRule>
    <cfRule type="expression" priority="5" aboveAverage="0" equalAverage="0" bottom="0" percent="0" rank="0" text="" dxfId="877">
      <formula>$B4="Sin página"</formula>
    </cfRule>
  </conditionalFormatting>
  <conditionalFormatting sqref="B5">
    <cfRule type="expression" priority="6" aboveAverage="0" equalAverage="0" bottom="0" percent="0" rank="0" text="" dxfId="878">
      <formula>$B5="I"</formula>
    </cfRule>
    <cfRule type="expression" priority="7" aboveAverage="0" equalAverage="0" bottom="0" percent="0" rank="0" text="" dxfId="879">
      <formula>$B5="N"</formula>
    </cfRule>
    <cfRule type="expression" priority="8" aboveAverage="0" equalAverage="0" bottom="0" percent="0" rank="0" text="" dxfId="880">
      <formula>$B5="M"</formula>
    </cfRule>
  </conditionalFormatting>
  <conditionalFormatting sqref="B6">
    <cfRule type="expression" priority="9" aboveAverage="0" equalAverage="0" bottom="0" percent="0" rank="0" text="" dxfId="881">
      <formula>$B6="Bajo"</formula>
    </cfRule>
    <cfRule type="expression" priority="10" aboveAverage="0" equalAverage="0" bottom="0" percent="0" rank="0" text="" dxfId="882">
      <formula>$B6="Medio bajo"</formula>
    </cfRule>
    <cfRule type="expression" priority="11" aboveAverage="0" equalAverage="0" bottom="0" percent="0" rank="0" text="" dxfId="883">
      <formula>$B6="Medio"</formula>
    </cfRule>
    <cfRule type="expression" priority="12" aboveAverage="0" equalAverage="0" bottom="0" percent="0" rank="0" text="" dxfId="884">
      <formula>$B6="Alto"</formula>
    </cfRule>
    <cfRule type="expression" priority="13" aboveAverage="0" equalAverage="0" bottom="0" percent="0" rank="0" text="" dxfId="885">
      <formula>$B6="Muy alto"</formula>
    </cfRule>
  </conditionalFormatting>
  <conditionalFormatting sqref="C17:C316">
    <cfRule type="expression" priority="14" aboveAverage="0" equalAverage="0" bottom="0" percent="0" rank="0" text="" dxfId="886">
      <formula>$C17="Sí"</formula>
    </cfRule>
    <cfRule type="expression" priority="15" aboveAverage="0" equalAverage="0" bottom="0" percent="0" rank="0" text="" dxfId="8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9" activeCellId="0" sqref="D29"/>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CS-63 · PANTALLA DE VALORACIONES Y COMENTARIOS</v>
      </c>
      <c r="B1" s="9"/>
      <c r="C1" s="9"/>
      <c r="D1" s="9"/>
      <c r="E1" s="9"/>
      <c r="F1" s="10" t="s">
        <v>147</v>
      </c>
    </row>
    <row r="2" customFormat="false" ht="15" hidden="false" customHeight="true" outlineLevel="0" collapsed="false">
      <c r="A2" s="11" t="s">
        <v>3</v>
      </c>
      <c r="B2" s="12" t="s">
        <v>143</v>
      </c>
      <c r="C2" s="12"/>
      <c r="D2" s="12"/>
      <c r="E2" s="12"/>
      <c r="F2" s="12"/>
    </row>
    <row r="3" customFormat="false" ht="15" hidden="false" customHeight="true" outlineLevel="0" collapsed="false">
      <c r="A3" s="11" t="s">
        <v>4</v>
      </c>
      <c r="B3" s="13" t="str">
        <f aca="false">IFERROR(INDEX(Historias[Título],MATCH($B$2,Historias[Ref],0))&amp;"","")</f>
        <v>PANTALLA DE VALORACIONES Y COMENTARIOS</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Medio</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5" hidden="false" customHeight="true" outlineLevel="0" collapsed="false">
      <c r="A9" s="11" t="s">
        <v>148</v>
      </c>
      <c r="B9" s="15" t="s">
        <v>377</v>
      </c>
      <c r="C9" s="15"/>
      <c r="D9" s="15"/>
      <c r="E9" s="15"/>
      <c r="F9" s="15"/>
    </row>
    <row r="10" customFormat="false" ht="15" hidden="false" customHeight="true" outlineLevel="0" collapsed="false">
      <c r="A10" s="11" t="s">
        <v>150</v>
      </c>
      <c r="B10" s="16" t="n">
        <v>46300</v>
      </c>
      <c r="C10" s="16"/>
      <c r="D10" s="16"/>
      <c r="E10" s="16"/>
      <c r="F10" s="16"/>
    </row>
    <row r="11" customFormat="false" ht="15" hidden="false" customHeight="true" outlineLevel="0" collapsed="false">
      <c r="A11" s="11" t="s">
        <v>151</v>
      </c>
      <c r="B11" s="15" t="s">
        <v>378</v>
      </c>
      <c r="C11" s="15"/>
      <c r="D11" s="15"/>
      <c r="E11" s="15"/>
      <c r="F11" s="15"/>
    </row>
    <row r="12" customFormat="false" ht="63" hidden="false" customHeight="true" outlineLevel="0" collapsed="false">
      <c r="A12" s="11" t="s">
        <v>153</v>
      </c>
      <c r="B12" s="15" t="s">
        <v>379</v>
      </c>
      <c r="C12" s="15"/>
      <c r="D12" s="15"/>
      <c r="E12" s="15"/>
      <c r="F12" s="15"/>
    </row>
    <row r="13" customFormat="false" ht="138" hidden="false" customHeight="true" outlineLevel="0" collapsed="false">
      <c r="A13" s="11" t="s">
        <v>155</v>
      </c>
      <c r="B13" s="15" t="s">
        <v>380</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IF(Obj_CS63[[#This Row],[Descripción]]="","",ROW()-ROW(Obj_CS63[[#Headers],[Objetivo]]))</f>
        <v>1</v>
      </c>
      <c r="B17" s="21" t="s">
        <v>381</v>
      </c>
      <c r="C17" s="6"/>
      <c r="D17" s="6"/>
      <c r="E17" s="22" t="n">
        <v>40</v>
      </c>
      <c r="F17" s="22"/>
    </row>
    <row r="18" customFormat="false" ht="18" hidden="false" customHeight="true" outlineLevel="0" collapsed="false">
      <c r="A18" s="20" t="n">
        <f aca="false">IF(Obj_CS63[[#This Row],[Descripción]]="","",ROW()-ROW(Obj_CS63[[#Headers],[Objetivo]]))</f>
        <v>2</v>
      </c>
      <c r="B18" s="21" t="s">
        <v>382</v>
      </c>
      <c r="C18" s="6"/>
      <c r="D18" s="6"/>
      <c r="E18" s="22" t="n">
        <v>40</v>
      </c>
      <c r="F18" s="22"/>
    </row>
    <row r="19" customFormat="false" ht="33" hidden="false" customHeight="true" outlineLevel="0" collapsed="false">
      <c r="A19" s="20" t="n">
        <f aca="false">IF(Obj_CS63[[#This Row],[Descripción]]="","",ROW()-ROW(Obj_CS63[[#Headers],[Objetivo]]))</f>
        <v>3</v>
      </c>
      <c r="B19" s="21" t="s">
        <v>383</v>
      </c>
      <c r="C19" s="6"/>
      <c r="D19" s="6"/>
      <c r="E19" s="22" t="n">
        <v>120</v>
      </c>
      <c r="F19" s="22"/>
    </row>
    <row r="20" customFormat="false" ht="33" hidden="false" customHeight="true" outlineLevel="0" collapsed="false">
      <c r="A20" s="20" t="n">
        <f aca="false">IF(Obj_CS63[[#This Row],[Descripción]]="","",ROW()-ROW(Obj_CS63[[#Headers],[Objetivo]]))</f>
        <v>4</v>
      </c>
      <c r="B20" s="21" t="s">
        <v>384</v>
      </c>
      <c r="C20" s="6"/>
      <c r="D20" s="6"/>
      <c r="E20" s="22" t="n">
        <v>20</v>
      </c>
      <c r="F20" s="22"/>
    </row>
    <row r="21" customFormat="false" ht="33" hidden="false" customHeight="true" outlineLevel="0" collapsed="false">
      <c r="A21" s="20" t="n">
        <f aca="false">IF(Obj_CS63[[#This Row],[Descripción]]="","",ROW()-ROW(Obj_CS63[[#Headers],[Objetivo]]))</f>
        <v>5</v>
      </c>
      <c r="B21" s="21" t="s">
        <v>385</v>
      </c>
      <c r="C21" s="6"/>
      <c r="D21" s="6"/>
      <c r="E21" s="22" t="n">
        <v>30</v>
      </c>
      <c r="F21" s="22"/>
    </row>
    <row r="22" customFormat="false" ht="33" hidden="false" customHeight="true" outlineLevel="0" collapsed="false">
      <c r="A22" s="20" t="n">
        <f aca="false">IF(Obj_CS63[[#This Row],[Descripción]]="","",ROW()-ROW(Obj_CS63[[#Headers],[Objetivo]]))</f>
        <v>6</v>
      </c>
      <c r="B22" s="21" t="s">
        <v>386</v>
      </c>
      <c r="C22" s="6"/>
      <c r="D22" s="6"/>
      <c r="E22" s="22" t="n">
        <v>25</v>
      </c>
      <c r="F22" s="22"/>
    </row>
    <row r="23" customFormat="false" ht="33" hidden="false" customHeight="true" outlineLevel="0" collapsed="false">
      <c r="A23" s="20" t="n">
        <f aca="false">IF(Obj_CS63[[#This Row],[Descripción]]="","",ROW()-ROW(Obj_CS63[[#Headers],[Objetivo]]))</f>
        <v>7</v>
      </c>
      <c r="B23" s="21" t="s">
        <v>387</v>
      </c>
      <c r="C23" s="6"/>
      <c r="D23" s="6"/>
      <c r="E23" s="22" t="n">
        <v>35</v>
      </c>
      <c r="F23" s="22"/>
    </row>
    <row r="24" customFormat="false" ht="33" hidden="false" customHeight="true" outlineLevel="0" collapsed="false">
      <c r="A24" s="20" t="n">
        <f aca="false">IF(Obj_CS63[[#This Row],[Descripción]]="","",ROW()-ROW(Obj_CS63[[#Headers],[Objetivo]]))</f>
        <v>8</v>
      </c>
      <c r="B24" s="21" t="s">
        <v>388</v>
      </c>
      <c r="C24" s="6"/>
      <c r="D24" s="6"/>
      <c r="E24" s="22" t="n">
        <v>40</v>
      </c>
      <c r="F24" s="22"/>
    </row>
    <row r="25" customFormat="false" ht="33" hidden="false" customHeight="true" outlineLevel="0" collapsed="false">
      <c r="A25" s="20" t="n">
        <f aca="false">IF(Obj_CS63[[#This Row],[Descripción]]="","",ROW()-ROW(Obj_CS63[[#Headers],[Objetivo]]))</f>
        <v>9</v>
      </c>
      <c r="B25" s="21" t="s">
        <v>389</v>
      </c>
      <c r="C25" s="6"/>
      <c r="D25" s="6"/>
      <c r="E25" s="22" t="n">
        <v>15</v>
      </c>
      <c r="F25" s="22"/>
    </row>
    <row r="26" customFormat="false" ht="18" hidden="false" customHeight="true" outlineLevel="0" collapsed="false">
      <c r="A26" s="20" t="n">
        <f aca="false">IF(Obj_CS63[[#This Row],[Descripción]]="","",ROW()-ROW(Obj_CS63[[#Headers],[Objetivo]]))</f>
        <v>10</v>
      </c>
      <c r="B26" s="21" t="s">
        <v>390</v>
      </c>
      <c r="C26" s="6"/>
      <c r="D26" s="6"/>
      <c r="E26" s="22" t="n">
        <v>50</v>
      </c>
      <c r="F26" s="22"/>
    </row>
    <row r="27" customFormat="false" ht="18" hidden="false" customHeight="true" outlineLevel="0" collapsed="false">
      <c r="A27" s="20" t="n">
        <f aca="false">IF(Obj_CS63[[#This Row],[Descripción]]="","",ROW()-ROW(Obj_CS63[[#Headers],[Objetivo]]))</f>
        <v>11</v>
      </c>
      <c r="B27" s="21" t="s">
        <v>362</v>
      </c>
      <c r="C27" s="6"/>
      <c r="D27" s="6"/>
      <c r="E27" s="22" t="n">
        <v>40</v>
      </c>
      <c r="F2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74">
      <formula>$B4="En progreso"</formula>
    </cfRule>
    <cfRule type="expression" priority="3" aboveAverage="0" equalAverage="0" bottom="0" percent="0" rank="0" text="" dxfId="875">
      <formula>$B4="En espera"</formula>
    </cfRule>
    <cfRule type="expression" priority="4" aboveAverage="0" equalAverage="0" bottom="0" percent="0" rank="0" text="" dxfId="876">
      <formula>$B4="Finalizada"</formula>
    </cfRule>
    <cfRule type="expression" priority="5" aboveAverage="0" equalAverage="0" bottom="0" percent="0" rank="0" text="" dxfId="877">
      <formula>$B4="Sin página"</formula>
    </cfRule>
  </conditionalFormatting>
  <conditionalFormatting sqref="B5">
    <cfRule type="expression" priority="6" aboveAverage="0" equalAverage="0" bottom="0" percent="0" rank="0" text="" dxfId="878">
      <formula>$B5="I"</formula>
    </cfRule>
    <cfRule type="expression" priority="7" aboveAverage="0" equalAverage="0" bottom="0" percent="0" rank="0" text="" dxfId="879">
      <formula>$B5="N"</formula>
    </cfRule>
    <cfRule type="expression" priority="8" aboveAverage="0" equalAverage="0" bottom="0" percent="0" rank="0" text="" dxfId="880">
      <formula>$B5="M"</formula>
    </cfRule>
  </conditionalFormatting>
  <conditionalFormatting sqref="B6">
    <cfRule type="expression" priority="9" aboveAverage="0" equalAverage="0" bottom="0" percent="0" rank="0" text="" dxfId="881">
      <formula>$B6="Bajo"</formula>
    </cfRule>
    <cfRule type="expression" priority="10" aboveAverage="0" equalAverage="0" bottom="0" percent="0" rank="0" text="" dxfId="882">
      <formula>$B6="Medio bajo"</formula>
    </cfRule>
    <cfRule type="expression" priority="11" aboveAverage="0" equalAverage="0" bottom="0" percent="0" rank="0" text="" dxfId="883">
      <formula>$B6="Medio"</formula>
    </cfRule>
    <cfRule type="expression" priority="12" aboveAverage="0" equalAverage="0" bottom="0" percent="0" rank="0" text="" dxfId="884">
      <formula>$B6="Alto"</formula>
    </cfRule>
    <cfRule type="expression" priority="13" aboveAverage="0" equalAverage="0" bottom="0" percent="0" rank="0" text="" dxfId="885">
      <formula>$B6="Muy alto"</formula>
    </cfRule>
  </conditionalFormatting>
  <conditionalFormatting sqref="C17:C316">
    <cfRule type="expression" priority="14" aboveAverage="0" equalAverage="0" bottom="0" percent="0" rank="0" text="" dxfId="886">
      <formula>$C17="Sí"</formula>
    </cfRule>
    <cfRule type="expression" priority="15" aboveAverage="0" equalAverage="0" bottom="0" percent="0" rank="0" text="" dxfId="8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CS-64 · CONTRASEÑA SEGURA</v>
      </c>
      <c r="B1" s="9"/>
      <c r="C1" s="9"/>
      <c r="D1" s="9"/>
      <c r="E1" s="9"/>
      <c r="F1" s="10" t="s">
        <v>147</v>
      </c>
    </row>
    <row r="2" customFormat="false" ht="15" hidden="false" customHeight="true" outlineLevel="0" collapsed="false">
      <c r="A2" s="11" t="s">
        <v>3</v>
      </c>
      <c r="B2" s="12" t="s">
        <v>145</v>
      </c>
      <c r="C2" s="12"/>
      <c r="D2" s="12"/>
      <c r="E2" s="12"/>
      <c r="F2" s="12"/>
    </row>
    <row r="3" customFormat="false" ht="15" hidden="false" customHeight="true" outlineLevel="0" collapsed="false">
      <c r="A3" s="11" t="s">
        <v>4</v>
      </c>
      <c r="B3" s="13" t="str">
        <f aca="false">IFERROR(INDEX(Historias[Título],MATCH($B$2,Historias[Ref],0))&amp;"","")</f>
        <v>CONTRASEÑA SEGURA</v>
      </c>
      <c r="C3" s="13"/>
      <c r="D3" s="13"/>
      <c r="E3" s="13"/>
      <c r="F3" s="13"/>
    </row>
    <row r="4" customFormat="false" ht="15" hidden="false" customHeight="true" outlineLevel="0" collapsed="false">
      <c r="A4" s="11" t="s">
        <v>9</v>
      </c>
      <c r="B4" s="13" t="str">
        <f aca="false">IFERROR(INDEX(Historias[Estado],MATCH($B$2,Historias[Ref],0))&amp;"","")</f>
        <v>En espera</v>
      </c>
      <c r="C4" s="13"/>
      <c r="D4" s="13"/>
      <c r="E4" s="13"/>
      <c r="F4" s="13"/>
    </row>
    <row r="5" customFormat="false" ht="15" hidden="false" customHeight="true" outlineLevel="0" collapsed="false">
      <c r="A5" s="11" t="s">
        <v>6</v>
      </c>
      <c r="B5" s="13" t="str">
        <f aca="false">IFERROR(INDEX(Historias[Prioridad],MATCH($B$2,Historias[Ref],0))&amp;"","")</f>
        <v>N</v>
      </c>
      <c r="C5" s="13"/>
      <c r="D5" s="13"/>
      <c r="E5" s="13"/>
      <c r="F5" s="13"/>
    </row>
    <row r="6" customFormat="false" ht="15" hidden="false" customHeight="true" outlineLevel="0" collapsed="false">
      <c r="A6" s="11" t="s">
        <v>5</v>
      </c>
      <c r="B6" s="13" t="str">
        <f aca="false">IFERROR(INDEX(Historias[Riesgo],MATCH($B$2,Historias[Ref],0))&amp;"","")</f>
        <v>Alto</v>
      </c>
      <c r="C6" s="13"/>
      <c r="D6" s="13"/>
      <c r="E6" s="13"/>
      <c r="F6" s="13"/>
    </row>
    <row r="7" customFormat="false" ht="15" hidden="false" customHeight="true" outlineLevel="0" collapsed="false">
      <c r="A7" s="11" t="s">
        <v>7</v>
      </c>
      <c r="B7" s="14" t="n">
        <f aca="false">IFERROR(INDEX(Historias[Tiempo estimado],MATCH($B$2,Historias[Ref],0)),"")</f>
        <v>0</v>
      </c>
      <c r="C7" s="14"/>
      <c r="D7" s="14"/>
      <c r="E7" s="14"/>
      <c r="F7" s="14"/>
    </row>
    <row r="8" customFormat="false" ht="15" hidden="false" customHeight="true" outlineLevel="0" collapsed="false">
      <c r="A8" s="11" t="s">
        <v>8</v>
      </c>
      <c r="B8" s="14" t="n">
        <f aca="false">SUM(F:F)/60</f>
        <v>0</v>
      </c>
      <c r="C8" s="14"/>
      <c r="D8" s="14"/>
      <c r="E8" s="14"/>
      <c r="F8" s="14"/>
    </row>
    <row r="9" customFormat="false" ht="15" hidden="false" customHeight="true" outlineLevel="0" collapsed="false">
      <c r="A9" s="11" t="s">
        <v>148</v>
      </c>
      <c r="B9" s="15"/>
      <c r="C9" s="15"/>
      <c r="D9" s="15"/>
      <c r="E9" s="15"/>
      <c r="F9" s="15"/>
    </row>
    <row r="10" customFormat="false" ht="15" hidden="false" customHeight="true" outlineLevel="0" collapsed="false">
      <c r="A10" s="11" t="s">
        <v>150</v>
      </c>
      <c r="B10" s="16" t="n">
        <v>46300</v>
      </c>
      <c r="C10" s="16"/>
      <c r="D10" s="16"/>
      <c r="E10" s="16"/>
      <c r="F10" s="16"/>
    </row>
    <row r="11" customFormat="false" ht="15" hidden="false" customHeight="true" outlineLevel="0" collapsed="false">
      <c r="A11" s="11" t="s">
        <v>151</v>
      </c>
      <c r="B11" s="15" t="s">
        <v>391</v>
      </c>
      <c r="C11" s="15"/>
      <c r="D11" s="15"/>
      <c r="E11" s="15"/>
      <c r="F11" s="15"/>
    </row>
    <row r="12" customFormat="false" ht="63" hidden="false" customHeight="true" outlineLevel="0" collapsed="false">
      <c r="A12" s="11" t="s">
        <v>153</v>
      </c>
      <c r="B12" s="15" t="s">
        <v>392</v>
      </c>
      <c r="C12" s="15"/>
      <c r="D12" s="15"/>
      <c r="E12" s="15"/>
      <c r="F12" s="15"/>
    </row>
    <row r="13" customFormat="false" ht="138" hidden="false" customHeight="true" outlineLevel="0" collapsed="false">
      <c r="A13" s="11" t="s">
        <v>155</v>
      </c>
      <c r="B13" s="15" t="s">
        <v>393</v>
      </c>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33" hidden="false" customHeight="true" outlineLevel="0" collapsed="false">
      <c r="A17" s="20" t="n">
        <f aca="false">IF(Obj_CS64[[#This Row],[Descripción]]="","",ROW()-ROW(Obj_CS64[[#Headers],[Objetivo]]))</f>
        <v>1</v>
      </c>
      <c r="B17" s="21" t="s">
        <v>394</v>
      </c>
      <c r="C17" s="6"/>
      <c r="D17" s="6"/>
      <c r="E17" s="22"/>
      <c r="F17" s="22"/>
    </row>
    <row r="18" customFormat="false" ht="33" hidden="false" customHeight="true" outlineLevel="0" collapsed="false">
      <c r="A18" s="20" t="n">
        <f aca="false">IF(Obj_CS64[[#This Row],[Descripción]]="","",ROW()-ROW(Obj_CS64[[#Headers],[Objetivo]]))</f>
        <v>2</v>
      </c>
      <c r="B18" s="21" t="s">
        <v>395</v>
      </c>
      <c r="C18" s="6"/>
      <c r="D18" s="6"/>
      <c r="E18" s="22"/>
      <c r="F18" s="22"/>
    </row>
    <row r="19" customFormat="false" ht="33" hidden="false" customHeight="true" outlineLevel="0" collapsed="false">
      <c r="A19" s="20" t="n">
        <f aca="false">IF(Obj_CS64[[#This Row],[Descripción]]="","",ROW()-ROW(Obj_CS64[[#Headers],[Objetivo]]))</f>
        <v>3</v>
      </c>
      <c r="B19" s="21" t="s">
        <v>396</v>
      </c>
      <c r="C19" s="6"/>
      <c r="D19" s="6"/>
      <c r="E19" s="22"/>
      <c r="F19" s="22"/>
    </row>
    <row r="20" customFormat="false" ht="18" hidden="false" customHeight="true" outlineLevel="0" collapsed="false">
      <c r="A20" s="20" t="n">
        <f aca="false">IF(Obj_CS64[[#This Row],[Descripción]]="","",ROW()-ROW(Obj_CS64[[#Headers],[Objetivo]]))</f>
        <v>4</v>
      </c>
      <c r="B20" s="21" t="s">
        <v>397</v>
      </c>
      <c r="C20" s="6"/>
      <c r="D20" s="6"/>
      <c r="E20" s="22"/>
      <c r="F20" s="22"/>
    </row>
    <row r="21" customFormat="false" ht="33" hidden="false" customHeight="true" outlineLevel="0" collapsed="false">
      <c r="A21" s="20" t="n">
        <f aca="false">IF(Obj_CS64[[#This Row],[Descripción]]="","",ROW()-ROW(Obj_CS64[[#Headers],[Objetivo]]))</f>
        <v>5</v>
      </c>
      <c r="B21" s="21" t="s">
        <v>398</v>
      </c>
      <c r="C21" s="6"/>
      <c r="D21" s="6"/>
      <c r="E21" s="22"/>
      <c r="F21" s="22"/>
    </row>
    <row r="22" customFormat="false" ht="33" hidden="false" customHeight="true" outlineLevel="0" collapsed="false">
      <c r="A22" s="20" t="n">
        <f aca="false">IF(Obj_CS64[[#This Row],[Descripción]]="","",ROW()-ROW(Obj_CS64[[#Headers],[Objetivo]]))</f>
        <v>6</v>
      </c>
      <c r="B22" s="21" t="s">
        <v>399</v>
      </c>
      <c r="C22" s="6"/>
      <c r="D22" s="6"/>
      <c r="E22" s="22"/>
      <c r="F22" s="22"/>
    </row>
    <row r="23" customFormat="false" ht="33" hidden="false" customHeight="true" outlineLevel="0" collapsed="false">
      <c r="A23" s="20" t="n">
        <f aca="false">IF(Obj_CS64[[#This Row],[Descripción]]="","",ROW()-ROW(Obj_CS64[[#Headers],[Objetivo]]))</f>
        <v>7</v>
      </c>
      <c r="B23" s="21" t="s">
        <v>400</v>
      </c>
      <c r="C23" s="6"/>
      <c r="D23" s="6"/>
      <c r="E23" s="22"/>
      <c r="F23" s="22"/>
    </row>
    <row r="24" customFormat="false" ht="33" hidden="false" customHeight="true" outlineLevel="0" collapsed="false">
      <c r="A24" s="20" t="n">
        <f aca="false">IF(Obj_CS64[[#This Row],[Descripción]]="","",ROW()-ROW(Obj_CS64[[#Headers],[Objetivo]]))</f>
        <v>8</v>
      </c>
      <c r="B24" s="21" t="s">
        <v>401</v>
      </c>
      <c r="C24" s="6"/>
      <c r="D24" s="6"/>
      <c r="E24" s="22"/>
      <c r="F24" s="22"/>
    </row>
    <row r="25" customFormat="false" ht="33" hidden="false" customHeight="true" outlineLevel="0" collapsed="false">
      <c r="A25" s="20" t="n">
        <f aca="false">IF(Obj_CS64[[#This Row],[Descripción]]="","",ROW()-ROW(Obj_CS64[[#Headers],[Objetivo]]))</f>
        <v>9</v>
      </c>
      <c r="B25" s="21" t="s">
        <v>402</v>
      </c>
      <c r="C25" s="6"/>
      <c r="D25" s="6"/>
      <c r="E25" s="22"/>
      <c r="F25" s="22"/>
    </row>
    <row r="26" customFormat="false" ht="48" hidden="false" customHeight="true" outlineLevel="0" collapsed="false">
      <c r="A26" s="20" t="n">
        <f aca="false">IF(Obj_CS64[[#This Row],[Descripción]]="","",ROW()-ROW(Obj_CS64[[#Headers],[Objetivo]]))</f>
        <v>10</v>
      </c>
      <c r="B26" s="21" t="s">
        <v>403</v>
      </c>
      <c r="C26" s="6"/>
      <c r="D26" s="6"/>
      <c r="E26" s="22"/>
      <c r="F26" s="22"/>
    </row>
    <row r="27" customFormat="false" ht="33" hidden="false" customHeight="true" outlineLevel="0" collapsed="false">
      <c r="A27" s="20" t="n">
        <f aca="false">IF(Obj_CS64[[#This Row],[Descripción]]="","",ROW()-ROW(Obj_CS64[[#Headers],[Objetivo]]))</f>
        <v>11</v>
      </c>
      <c r="B27" s="21" t="s">
        <v>404</v>
      </c>
      <c r="C27" s="6"/>
      <c r="D27" s="6"/>
      <c r="E27" s="22"/>
      <c r="F27" s="22"/>
    </row>
    <row r="28" customFormat="false" ht="33" hidden="false" customHeight="true" outlineLevel="0" collapsed="false">
      <c r="A28" s="20" t="n">
        <f aca="false">IF(Obj_CS64[[#This Row],[Descripción]]="","",ROW()-ROW(Obj_CS64[[#Headers],[Objetivo]]))</f>
        <v>12</v>
      </c>
      <c r="B28" s="21" t="s">
        <v>405</v>
      </c>
      <c r="C28" s="6"/>
      <c r="D28" s="6"/>
      <c r="E28" s="22"/>
      <c r="F28" s="22"/>
    </row>
    <row r="29" customFormat="false" ht="33" hidden="false" customHeight="true" outlineLevel="0" collapsed="false">
      <c r="A29" s="20" t="n">
        <f aca="false">IF(Obj_CS64[[#This Row],[Descripción]]="","",ROW()-ROW(Obj_CS64[[#Headers],[Objetivo]]))</f>
        <v>13</v>
      </c>
      <c r="B29" s="21" t="s">
        <v>406</v>
      </c>
      <c r="C29" s="6"/>
      <c r="D29" s="6"/>
      <c r="E29" s="22"/>
      <c r="F29" s="22"/>
    </row>
    <row r="30" customFormat="false" ht="48" hidden="false" customHeight="true" outlineLevel="0" collapsed="false">
      <c r="A30" s="20" t="n">
        <f aca="false">IF(Obj_CS64[[#This Row],[Descripción]]="","",ROW()-ROW(Obj_CS64[[#Headers],[Objetivo]]))</f>
        <v>14</v>
      </c>
      <c r="B30" s="21" t="s">
        <v>407</v>
      </c>
      <c r="C30" s="6"/>
      <c r="D30" s="6"/>
      <c r="E30" s="22"/>
      <c r="F30" s="22"/>
    </row>
    <row r="31" customFormat="false" ht="18" hidden="false" customHeight="true" outlineLevel="0" collapsed="false">
      <c r="A31" s="20" t="n">
        <f aca="false">IF(Obj_CS64[[#This Row],[Descripción]]="","",ROW()-ROW(Obj_CS64[[#Headers],[Objetivo]]))</f>
        <v>15</v>
      </c>
      <c r="B31" s="21" t="s">
        <v>408</v>
      </c>
      <c r="C31" s="6"/>
      <c r="D31" s="6"/>
      <c r="E31" s="22"/>
      <c r="F31"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74">
      <formula>$B4="En progreso"</formula>
    </cfRule>
    <cfRule type="expression" priority="3" aboveAverage="0" equalAverage="0" bottom="0" percent="0" rank="0" text="" dxfId="875">
      <formula>$B4="En espera"</formula>
    </cfRule>
    <cfRule type="expression" priority="4" aboveAverage="0" equalAverage="0" bottom="0" percent="0" rank="0" text="" dxfId="876">
      <formula>$B4="Finalizada"</formula>
    </cfRule>
    <cfRule type="expression" priority="5" aboveAverage="0" equalAverage="0" bottom="0" percent="0" rank="0" text="" dxfId="877">
      <formula>$B4="Sin página"</formula>
    </cfRule>
  </conditionalFormatting>
  <conditionalFormatting sqref="B5">
    <cfRule type="expression" priority="6" aboveAverage="0" equalAverage="0" bottom="0" percent="0" rank="0" text="" dxfId="878">
      <formula>$B5="I"</formula>
    </cfRule>
    <cfRule type="expression" priority="7" aboveAverage="0" equalAverage="0" bottom="0" percent="0" rank="0" text="" dxfId="879">
      <formula>$B5="N"</formula>
    </cfRule>
    <cfRule type="expression" priority="8" aboveAverage="0" equalAverage="0" bottom="0" percent="0" rank="0" text="" dxfId="880">
      <formula>$B5="M"</formula>
    </cfRule>
  </conditionalFormatting>
  <conditionalFormatting sqref="B6">
    <cfRule type="expression" priority="9" aboveAverage="0" equalAverage="0" bottom="0" percent="0" rank="0" text="" dxfId="881">
      <formula>$B6="Bajo"</formula>
    </cfRule>
    <cfRule type="expression" priority="10" aboveAverage="0" equalAverage="0" bottom="0" percent="0" rank="0" text="" dxfId="882">
      <formula>$B6="Medio bajo"</formula>
    </cfRule>
    <cfRule type="expression" priority="11" aboveAverage="0" equalAverage="0" bottom="0" percent="0" rank="0" text="" dxfId="883">
      <formula>$B6="Medio"</formula>
    </cfRule>
    <cfRule type="expression" priority="12" aboveAverage="0" equalAverage="0" bottom="0" percent="0" rank="0" text="" dxfId="884">
      <formula>$B6="Alto"</formula>
    </cfRule>
    <cfRule type="expression" priority="13" aboveAverage="0" equalAverage="0" bottom="0" percent="0" rank="0" text="" dxfId="885">
      <formula>$B6="Muy alto"</formula>
    </cfRule>
  </conditionalFormatting>
  <conditionalFormatting sqref="C17:C316">
    <cfRule type="expression" priority="14" aboveAverage="0" equalAverage="0" bottom="0" percent="0" rank="0" text="" dxfId="886">
      <formula>$C17="Sí"</formula>
    </cfRule>
    <cfRule type="expression" priority="15" aboveAverage="0" equalAverage="0" bottom="0" percent="0" rank="0" text="" dxfId="8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12"/>
    <col collapsed="false" customWidth="true" hidden="false" outlineLevel="0" max="4" min="4" style="0" width="16"/>
    <col collapsed="false" customWidth="true" hidden="false" outlineLevel="0" max="5" min="5" style="0" width="17"/>
    <col collapsed="false" customWidth="true" hidden="false" outlineLevel="0" max="6" min="6" style="0" width="15"/>
  </cols>
  <sheetData>
    <row r="1" customFormat="false" ht="25.5" hidden="false" customHeight="true" outlineLevel="0" collapsed="false">
      <c r="A1" s="9" t="str">
        <f aca="false">IF($B$2="","PLANTILLA · escribe la referencia CS-XX en B2",$B$2&amp;" · "&amp;$B$3)</f>
        <v>PLANTILLA · escribe la referencia CS-XX en B2</v>
      </c>
      <c r="B1" s="9"/>
      <c r="C1" s="9"/>
      <c r="D1" s="9"/>
      <c r="E1" s="9"/>
      <c r="F1" s="10" t="s">
        <v>147</v>
      </c>
    </row>
    <row r="2" customFormat="false" ht="15" hidden="false" customHeight="true" outlineLevel="0" collapsed="false">
      <c r="A2" s="11" t="s">
        <v>3</v>
      </c>
      <c r="B2" s="12"/>
      <c r="C2" s="12"/>
      <c r="D2" s="12"/>
      <c r="E2" s="12"/>
      <c r="F2" s="12"/>
    </row>
    <row r="3" customFormat="false" ht="15" hidden="false" customHeight="true" outlineLevel="0" collapsed="false">
      <c r="A3" s="11" t="s">
        <v>4</v>
      </c>
      <c r="B3" s="13" t="str">
        <f aca="false">IFERROR(INDEX(Historias[Título],MATCH($B$2,Historias[Ref],0))&amp;"","")</f>
        <v/>
      </c>
      <c r="C3" s="13"/>
      <c r="D3" s="13"/>
      <c r="E3" s="13"/>
      <c r="F3" s="13"/>
    </row>
    <row r="4" customFormat="false" ht="15" hidden="false" customHeight="true" outlineLevel="0" collapsed="false">
      <c r="A4" s="11" t="s">
        <v>9</v>
      </c>
      <c r="B4" s="13" t="str">
        <f aca="false">IFERROR(INDEX(Historias[Estado],MATCH($B$2,Historias[Ref],0))&amp;"","")</f>
        <v/>
      </c>
      <c r="C4" s="13"/>
      <c r="D4" s="13"/>
      <c r="E4" s="13"/>
      <c r="F4" s="13"/>
    </row>
    <row r="5" customFormat="false" ht="15" hidden="false" customHeight="true" outlineLevel="0" collapsed="false">
      <c r="A5" s="11" t="s">
        <v>6</v>
      </c>
      <c r="B5" s="13" t="str">
        <f aca="false">IFERROR(INDEX(Historias[Prioridad],MATCH($B$2,Historias[Ref],0))&amp;"","")</f>
        <v/>
      </c>
      <c r="C5" s="13"/>
      <c r="D5" s="13"/>
      <c r="E5" s="13"/>
      <c r="F5" s="13"/>
    </row>
    <row r="6" customFormat="false" ht="15" hidden="false" customHeight="true" outlineLevel="0" collapsed="false">
      <c r="A6" s="11" t="s">
        <v>5</v>
      </c>
      <c r="B6" s="13" t="str">
        <f aca="false">IFERROR(INDEX(Historias[Riesgo],MATCH($B$2,Historias[Ref],0))&amp;"","")</f>
        <v/>
      </c>
      <c r="C6" s="13"/>
      <c r="D6" s="13"/>
      <c r="E6" s="13"/>
      <c r="F6" s="13"/>
    </row>
    <row r="7" customFormat="false" ht="15" hidden="false" customHeight="true" outlineLevel="0" collapsed="false">
      <c r="A7" s="11" t="s">
        <v>7</v>
      </c>
      <c r="B7" s="14" t="str">
        <f aca="false">IFERROR(INDEX(Historias[Tiempo estimado],MATCH($B$2,Historias[Ref],0)),"")</f>
        <v/>
      </c>
      <c r="C7" s="14"/>
      <c r="D7" s="14"/>
      <c r="E7" s="14"/>
      <c r="F7" s="14"/>
    </row>
    <row r="8" customFormat="false" ht="15" hidden="false" customHeight="true" outlineLevel="0" collapsed="false">
      <c r="A8" s="11" t="s">
        <v>8</v>
      </c>
      <c r="B8" s="14" t="n">
        <f aca="false">SUM(F:F)/60</f>
        <v>0</v>
      </c>
      <c r="C8" s="14"/>
      <c r="D8" s="14"/>
      <c r="E8" s="14"/>
      <c r="F8" s="14"/>
    </row>
    <row r="9" customFormat="false" ht="15" hidden="false" customHeight="true" outlineLevel="0" collapsed="false">
      <c r="A9" s="11" t="s">
        <v>148</v>
      </c>
      <c r="B9" s="15"/>
      <c r="C9" s="15"/>
      <c r="D9" s="15"/>
      <c r="E9" s="15"/>
      <c r="F9" s="15"/>
    </row>
    <row r="10" customFormat="false" ht="15" hidden="false" customHeight="true" outlineLevel="0" collapsed="false">
      <c r="A10" s="11" t="s">
        <v>150</v>
      </c>
      <c r="B10" s="16"/>
      <c r="C10" s="16"/>
      <c r="D10" s="16"/>
      <c r="E10" s="16"/>
      <c r="F10" s="16"/>
    </row>
    <row r="11" customFormat="false" ht="15" hidden="false" customHeight="true" outlineLevel="0" collapsed="false">
      <c r="A11" s="11" t="s">
        <v>151</v>
      </c>
      <c r="B11" s="15"/>
      <c r="C11" s="15"/>
      <c r="D11" s="15"/>
      <c r="E11" s="15"/>
      <c r="F11" s="15"/>
    </row>
    <row r="12" customFormat="false" ht="45" hidden="false" customHeight="true" outlineLevel="0" collapsed="false">
      <c r="A12" s="11" t="s">
        <v>153</v>
      </c>
      <c r="B12" s="15"/>
      <c r="C12" s="15"/>
      <c r="D12" s="15"/>
      <c r="E12" s="15"/>
      <c r="F12" s="15"/>
    </row>
    <row r="13" customFormat="false" ht="45" hidden="false" customHeight="true" outlineLevel="0" collapsed="false">
      <c r="A13" s="11" t="s">
        <v>155</v>
      </c>
      <c r="B13" s="15"/>
      <c r="C13" s="15"/>
      <c r="D13" s="15"/>
      <c r="E13" s="15"/>
      <c r="F13" s="15"/>
    </row>
    <row r="14" customFormat="false" ht="15" hidden="false" customHeight="false" outlineLevel="0" collapsed="false">
      <c r="A14" s="17" t="s">
        <v>157</v>
      </c>
      <c r="B14" s="17"/>
      <c r="C14" s="17"/>
      <c r="D14" s="17"/>
      <c r="E14" s="17"/>
      <c r="F14" s="17"/>
    </row>
    <row r="15" customFormat="false" ht="19.5" hidden="false" customHeight="true" outlineLevel="0" collapsed="false">
      <c r="A15" s="18" t="s">
        <v>158</v>
      </c>
      <c r="B15" s="18"/>
      <c r="C15" s="18"/>
      <c r="D15" s="18"/>
      <c r="E15" s="18"/>
      <c r="F15" s="18"/>
    </row>
    <row r="16" customFormat="false" ht="15" hidden="false" customHeight="false" outlineLevel="0" collapsed="false">
      <c r="A16" s="19" t="s">
        <v>159</v>
      </c>
      <c r="B16" s="19" t="s">
        <v>160</v>
      </c>
      <c r="C16" s="19" t="s">
        <v>161</v>
      </c>
      <c r="D16" s="19" t="s">
        <v>162</v>
      </c>
      <c r="E16" s="19" t="s">
        <v>7</v>
      </c>
      <c r="F16" s="19" t="s">
        <v>8</v>
      </c>
    </row>
    <row r="17" customFormat="false" ht="15" hidden="false" customHeight="true" outlineLevel="0" collapsed="false">
      <c r="A17" s="20" t="str">
        <f aca="false">IF(Obj_Plantilla[[#This Row],[Descripción]]="","",ROW()-ROW(Obj_Plantilla[[#Headers],[Objetivo]]))</f>
        <v/>
      </c>
      <c r="B17" s="21"/>
      <c r="C17" s="6"/>
      <c r="D17" s="6"/>
      <c r="E17" s="22"/>
      <c r="F17" s="22"/>
    </row>
  </sheetData>
  <mergeCells count="15">
    <mergeCell ref="A1:E1"/>
    <mergeCell ref="B2:F2"/>
    <mergeCell ref="B3:F3"/>
    <mergeCell ref="B4:F4"/>
    <mergeCell ref="B5:F5"/>
    <mergeCell ref="B6:F6"/>
    <mergeCell ref="B7:F7"/>
    <mergeCell ref="B8:F8"/>
    <mergeCell ref="B9:F9"/>
    <mergeCell ref="B10:F10"/>
    <mergeCell ref="B11:F11"/>
    <mergeCell ref="B12:F12"/>
    <mergeCell ref="B13:F13"/>
    <mergeCell ref="A14:F14"/>
    <mergeCell ref="A15:F15"/>
  </mergeCells>
  <conditionalFormatting sqref="B4">
    <cfRule type="expression" priority="2" aboveAverage="0" equalAverage="0" bottom="0" percent="0" rank="0" text="" dxfId="874">
      <formula>$B4="En progreso"</formula>
    </cfRule>
    <cfRule type="expression" priority="3" aboveAverage="0" equalAverage="0" bottom="0" percent="0" rank="0" text="" dxfId="875">
      <formula>$B4="En espera"</formula>
    </cfRule>
    <cfRule type="expression" priority="4" aboveAverage="0" equalAverage="0" bottom="0" percent="0" rank="0" text="" dxfId="876">
      <formula>$B4="Finalizada"</formula>
    </cfRule>
    <cfRule type="expression" priority="5" aboveAverage="0" equalAverage="0" bottom="0" percent="0" rank="0" text="" dxfId="877">
      <formula>$B4="Sin página"</formula>
    </cfRule>
  </conditionalFormatting>
  <conditionalFormatting sqref="B5">
    <cfRule type="expression" priority="6" aboveAverage="0" equalAverage="0" bottom="0" percent="0" rank="0" text="" dxfId="878">
      <formula>$B5="I"</formula>
    </cfRule>
    <cfRule type="expression" priority="7" aboveAverage="0" equalAverage="0" bottom="0" percent="0" rank="0" text="" dxfId="879">
      <formula>$B5="N"</formula>
    </cfRule>
    <cfRule type="expression" priority="8" aboveAverage="0" equalAverage="0" bottom="0" percent="0" rank="0" text="" dxfId="880">
      <formula>$B5="M"</formula>
    </cfRule>
  </conditionalFormatting>
  <conditionalFormatting sqref="B6">
    <cfRule type="expression" priority="9" aboveAverage="0" equalAverage="0" bottom="0" percent="0" rank="0" text="" dxfId="881">
      <formula>$B6="Bajo"</formula>
    </cfRule>
    <cfRule type="expression" priority="10" aboveAverage="0" equalAverage="0" bottom="0" percent="0" rank="0" text="" dxfId="882">
      <formula>$B6="Medio bajo"</formula>
    </cfRule>
    <cfRule type="expression" priority="11" aboveAverage="0" equalAverage="0" bottom="0" percent="0" rank="0" text="" dxfId="883">
      <formula>$B6="Medio"</formula>
    </cfRule>
    <cfRule type="expression" priority="12" aboveAverage="0" equalAverage="0" bottom="0" percent="0" rank="0" text="" dxfId="884">
      <formula>$B6="Alto"</formula>
    </cfRule>
    <cfRule type="expression" priority="13" aboveAverage="0" equalAverage="0" bottom="0" percent="0" rank="0" text="" dxfId="885">
      <formula>$B6="Muy alto"</formula>
    </cfRule>
  </conditionalFormatting>
  <conditionalFormatting sqref="C17:C316">
    <cfRule type="expression" priority="14" aboveAverage="0" equalAverage="0" bottom="0" percent="0" rank="0" text="" dxfId="886">
      <formula>$C17="Sí"</formula>
    </cfRule>
    <cfRule type="expression" priority="15" aboveAverage="0" equalAverage="0" bottom="0" percent="0" rank="0" text="" dxfId="887">
      <formula>$C17="No"</formula>
    </cfRule>
  </conditionalFormatting>
  <dataValidations count="3">
    <dataValidation allowBlank="true" error="Elige Sí o No." errorStyle="stop" errorTitle="Finalizado" operator="between" showDropDown="false" showErrorMessage="true" showInputMessage="false" sqref="C17:C316" type="list">
      <formula1>"Sí,No"</formula1>
      <formula2>0</formula2>
    </dataValidation>
    <dataValidation allowBlank="true" error="Ese nombre no está en la lista. ¿Lo dejas igualmente?" errorStyle="warning" errorTitle="Responsable" operator="between" showDropDown="false" showErrorMessage="true" showInputMessage="false" sqref="D17:D316" type="list">
      <formula1>"Joaquin,Matthew,Jorge,Flavia,Lucia"</formula1>
      <formula2>0</formula2>
    </dataValidation>
    <dataValidation allowBlank="true" error="Escribe solo el número de minutos, por ejemplo 30." errorStyle="stop" errorTitle="Tiempo" operator="greaterThanOrEqual" showDropDown="false" showErrorMessage="true" showInputMessage="false" sqref="E17:F316" type="decimal">
      <formula1>0</formula1>
      <formula2>0</formula2>
    </dataValidation>
  </dataValidations>
  <hyperlinks>
    <hyperlink ref="F1" location="'Índice'!A1" display="↑ Índic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scriptIds xmlns="http://schemas.microsoft.com/office/extensibility/maker/v1.0" id="script-ids-node-id">
  <scriptId id="ms-officescript%3A%2F%2Fonedrive_business_itemlink%2F01GTZEWCAWIM7TFMIJC5EK6T67Q653ALHS:ms-officescript%3A%2F%2Fonedrive_business_sharinglink%2Fu!aHR0cHM6Ly9jZXUzNjUtbXkuc2hhcmVwb2ludC5jb20vOnU6L2cvcGVyc29uYWwvam9hcXVpbl9kZXZpY2VudGVhYmFkX3VzcF9jZXVfZXMvSVFBV1F6OHlzUWtYU0s5UDM0ZTdzQ3p5QWRTbTYxSVhqT1Q0SWpWUnFrYmtJbTg"/>
</scriptIds>
</file>

<file path=customXml/itemProps1.xml><?xml version="1.0" encoding="utf-8"?>
<ds:datastoreItem xmlns:ds="http://schemas.openxmlformats.org/officeDocument/2006/customXml" ds:itemID="{579C8B5B-9FA1-4985-ACF6-918C4CBEE006}"/>
</file>

<file path=docProps/app.xml><?xml version="1.0" encoding="utf-8"?>
<Properties xmlns="http://schemas.openxmlformats.org/officeDocument/2006/extended-properties" xmlns:vt="http://schemas.openxmlformats.org/officeDocument/2006/docPropsVTypes">
  <Template/>
  <TotalTime>3</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2026-10-02T14:34:46Z</dcterms:created>
  <dc:creator>openpyxl</dc:creator>
  <dc:description/>
  <dc:language>en-US</dc:language>
  <cp:lastModifiedBy/>
  <dcterms:modified xsi:type="dcterms:W3CDTF">2026-10-08T00:23:25Z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