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sheets/sheet36.xml" ContentType="application/vnd.openxmlformats-officedocument.spreadsheetml.worksheet+xml"/>
  <Override PartName="/xl/tables/table36.xml" ContentType="application/vnd.openxmlformats-officedocument.spreadsheetml.table+xml"/>
  <Override PartName="/xl/worksheets/sheet37.xml" ContentType="application/vnd.openxmlformats-officedocument.spreadsheetml.worksheet+xml"/>
  <Override PartName="/xl/tables/table37.xml" ContentType="application/vnd.openxmlformats-officedocument.spreadsheetml.table+xml"/>
  <Override PartName="/xl/worksheets/sheet38.xml" ContentType="application/vnd.openxmlformats-officedocument.spreadsheetml.worksheet+xml"/>
  <Override PartName="/xl/tables/table38.xml" ContentType="application/vnd.openxmlformats-officedocument.spreadsheetml.table+xml"/>
  <Override PartName="/xl/worksheets/sheet39.xml" ContentType="application/vnd.openxmlformats-officedocument.spreadsheetml.worksheet+xml"/>
  <Override PartName="/xl/tables/table39.xml" ContentType="application/vnd.openxmlformats-officedocument.spreadsheetml.table+xml"/>
  <Override PartName="/xl/worksheets/sheet40.xml" ContentType="application/vnd.openxmlformats-officedocument.spreadsheetml.worksheet+xml"/>
  <Override PartName="/xl/tables/table40.xml" ContentType="application/vnd.openxmlformats-officedocument.spreadsheetml.table+xml"/>
  <Override PartName="/xl/worksheets/sheet41.xml" ContentType="application/vnd.openxmlformats-officedocument.spreadsheetml.worksheet+xml"/>
  <Override PartName="/xl/tables/table41.xml" ContentType="application/vnd.openxmlformats-officedocument.spreadsheetml.table+xml"/>
  <Override PartName="/xl/worksheets/sheet42.xml" ContentType="application/vnd.openxmlformats-officedocument.spreadsheetml.worksheet+xml"/>
  <Override PartName="/xl/tables/table42.xml" ContentType="application/vnd.openxmlformats-officedocument.spreadsheetml.table+xml"/>
  <Override PartName="/xl/worksheets/sheet43.xml" ContentType="application/vnd.openxmlformats-officedocument.spreadsheetml.worksheet+xml"/>
  <Override PartName="/xl/tables/table43.xml" ContentType="application/vnd.openxmlformats-officedocument.spreadsheetml.table+xml"/>
  <Override PartName="/xl/worksheets/sheet44.xml" ContentType="application/vnd.openxmlformats-officedocument.spreadsheetml.worksheet+xml"/>
  <Override PartName="/xl/tables/table44.xml" ContentType="application/vnd.openxmlformats-officedocument.spreadsheetml.table+xml"/>
  <Override PartName="/xl/worksheets/sheet45.xml" ContentType="application/vnd.openxmlformats-officedocument.spreadsheetml.worksheet+xml"/>
  <Override PartName="/xl/tables/table45.xml" ContentType="application/vnd.openxmlformats-officedocument.spreadsheetml.table+xml"/>
  <Override PartName="/xl/worksheets/sheet46.xml" ContentType="application/vnd.openxmlformats-officedocument.spreadsheetml.worksheet+xml"/>
  <Override PartName="/xl/tables/table46.xml" ContentType="application/vnd.openxmlformats-officedocument.spreadsheetml.table+xml"/>
  <Override PartName="/xl/worksheets/sheet47.xml" ContentType="application/vnd.openxmlformats-officedocument.spreadsheetml.worksheet+xml"/>
  <Override PartName="/xl/tables/table47.xml" ContentType="application/vnd.openxmlformats-officedocument.spreadsheetml.table+xml"/>
  <Override PartName="/xl/worksheets/sheet48.xml" ContentType="application/vnd.openxmlformats-officedocument.spreadsheetml.worksheet+xml"/>
  <Override PartName="/xl/tables/table48.xml" ContentType="application/vnd.openxmlformats-officedocument.spreadsheetml.table+xml"/>
  <Override PartName="/xl/worksheets/sheet49.xml" ContentType="application/vnd.openxmlformats-officedocument.spreadsheetml.worksheet+xml"/>
  <Override PartName="/xl/tables/table49.xml" ContentType="application/vnd.openxmlformats-officedocument.spreadsheetml.table+xml"/>
  <Override PartName="/xl/worksheets/sheet50.xml" ContentType="application/vnd.openxmlformats-officedocument.spreadsheetml.worksheet+xml"/>
  <Override PartName="/xl/tables/table50.xml" ContentType="application/vnd.openxmlformats-officedocument.spreadsheetml.table+xml"/>
  <Override PartName="/xl/worksheets/sheet51.xml" ContentType="application/vnd.openxmlformats-officedocument.spreadsheetml.worksheet+xml"/>
  <Override PartName="/xl/tables/table51.xml" ContentType="application/vnd.openxmlformats-officedocument.spreadsheetml.table+xml"/>
  <Override PartName="/xl/worksheets/sheet52.xml" ContentType="application/vnd.openxmlformats-officedocument.spreadsheetml.worksheet+xml"/>
  <Override PartName="/xl/tables/table52.xml" ContentType="application/vnd.openxmlformats-officedocument.spreadsheetml.table+xml"/>
  <Override PartName="/xl/worksheets/sheet53.xml" ContentType="application/vnd.openxmlformats-officedocument.spreadsheetml.worksheet+xml"/>
  <Override PartName="/xl/tables/table53.xml" ContentType="application/vnd.openxmlformats-officedocument.spreadsheetml.table+xml"/>
  <Override PartName="/xl/worksheets/sheet54.xml" ContentType="application/vnd.openxmlformats-officedocument.spreadsheetml.worksheet+xml"/>
  <Override PartName="/xl/tables/table54.xml" ContentType="application/vnd.openxmlformats-officedocument.spreadsheetml.table+xml"/>
  <Override PartName="/xl/worksheets/sheet55.xml" ContentType="application/vnd.openxmlformats-officedocument.spreadsheetml.worksheet+xml"/>
  <Override PartName="/xl/tables/table55.xml" ContentType="application/vnd.openxmlformats-officedocument.spreadsheetml.table+xml"/>
  <Override PartName="/xl/worksheets/sheet56.xml" ContentType="application/vnd.openxmlformats-officedocument.spreadsheetml.worksheet+xml"/>
  <Override PartName="/xl/tables/table56.xml" ContentType="application/vnd.openxmlformats-officedocument.spreadsheetml.table+xml"/>
  <Override PartName="/xl/worksheets/sheet57.xml" ContentType="application/vnd.openxmlformats-officedocument.spreadsheetml.worksheet+xml"/>
  <Override PartName="/xl/tables/table57.xml" ContentType="application/vnd.openxmlformats-officedocument.spreadsheetml.table+xml"/>
  <Override PartName="/xl/worksheets/sheet58.xml" ContentType="application/vnd.openxmlformats-officedocument.spreadsheetml.worksheet+xml"/>
  <Override PartName="/xl/tables/table58.xml" ContentType="application/vnd.openxmlformats-officedocument.spreadsheetml.table+xml"/>
  <Override PartName="/xl/worksheets/sheet59.xml" ContentType="application/vnd.openxmlformats-officedocument.spreadsheetml.worksheet+xml"/>
  <Override PartName="/xl/tables/table59.xml" ContentType="application/vnd.openxmlformats-officedocument.spreadsheetml.table+xml"/>
  <Override PartName="/xl/worksheets/sheet60.xml" ContentType="application/vnd.openxmlformats-officedocument.spreadsheetml.worksheet+xml"/>
  <Override PartName="/xl/tables/table60.xml" ContentType="application/vnd.openxmlformats-officedocument.spreadsheetml.table+xml"/>
  <Override PartName="/xl/worksheets/sheet61.xml" ContentType="application/vnd.openxmlformats-officedocument.spreadsheetml.worksheet+xml"/>
  <Override PartName="/xl/tables/table61.xml" ContentType="application/vnd.openxmlformats-officedocument.spreadsheetml.table+xml"/>
  <Override PartName="/xl/worksheets/sheet62.xml" ContentType="application/vnd.openxmlformats-officedocument.spreadsheetml.worksheet+xml"/>
  <Override PartName="/xl/tables/table6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CS-01" sheetId="2" state="visible" r:id="rId2"/>
    <sheet xmlns:r="http://schemas.openxmlformats.org/officeDocument/2006/relationships" name="CS-02" sheetId="3" state="visible" r:id="rId3"/>
    <sheet xmlns:r="http://schemas.openxmlformats.org/officeDocument/2006/relationships" name="CS-03" sheetId="4" state="visible" r:id="rId4"/>
    <sheet xmlns:r="http://schemas.openxmlformats.org/officeDocument/2006/relationships" name="CS-04" sheetId="5" state="visible" r:id="rId5"/>
    <sheet xmlns:r="http://schemas.openxmlformats.org/officeDocument/2006/relationships" name="CS-05" sheetId="6" state="visible" r:id="rId6"/>
    <sheet xmlns:r="http://schemas.openxmlformats.org/officeDocument/2006/relationships" name="CS-06" sheetId="7" state="visible" r:id="rId7"/>
    <sheet xmlns:r="http://schemas.openxmlformats.org/officeDocument/2006/relationships" name="CS-07" sheetId="8" state="visible" r:id="rId8"/>
    <sheet xmlns:r="http://schemas.openxmlformats.org/officeDocument/2006/relationships" name="CS-08" sheetId="9" state="visible" r:id="rId9"/>
    <sheet xmlns:r="http://schemas.openxmlformats.org/officeDocument/2006/relationships" name="CS-09" sheetId="10" state="visible" r:id="rId10"/>
    <sheet xmlns:r="http://schemas.openxmlformats.org/officeDocument/2006/relationships" name="CS-10" sheetId="11" state="visible" r:id="rId11"/>
    <sheet xmlns:r="http://schemas.openxmlformats.org/officeDocument/2006/relationships" name="CS-11" sheetId="12" state="visible" r:id="rId12"/>
    <sheet xmlns:r="http://schemas.openxmlformats.org/officeDocument/2006/relationships" name="CS-12" sheetId="13" state="visible" r:id="rId13"/>
    <sheet xmlns:r="http://schemas.openxmlformats.org/officeDocument/2006/relationships" name="CS-13" sheetId="14" state="visible" r:id="rId14"/>
    <sheet xmlns:r="http://schemas.openxmlformats.org/officeDocument/2006/relationships" name="CS-14" sheetId="15" state="visible" r:id="rId15"/>
    <sheet xmlns:r="http://schemas.openxmlformats.org/officeDocument/2006/relationships" name="CS-15" sheetId="16" state="visible" r:id="rId16"/>
    <sheet xmlns:r="http://schemas.openxmlformats.org/officeDocument/2006/relationships" name="CS-16" sheetId="17" state="visible" r:id="rId17"/>
    <sheet xmlns:r="http://schemas.openxmlformats.org/officeDocument/2006/relationships" name="CS-17" sheetId="18" state="visible" r:id="rId18"/>
    <sheet xmlns:r="http://schemas.openxmlformats.org/officeDocument/2006/relationships" name="CS-18" sheetId="19" state="visible" r:id="rId19"/>
    <sheet xmlns:r="http://schemas.openxmlformats.org/officeDocument/2006/relationships" name="CS-19" sheetId="20" state="visible" r:id="rId20"/>
    <sheet xmlns:r="http://schemas.openxmlformats.org/officeDocument/2006/relationships" name="CS-20" sheetId="21" state="visible" r:id="rId21"/>
    <sheet xmlns:r="http://schemas.openxmlformats.org/officeDocument/2006/relationships" name="CS-21" sheetId="22" state="visible" r:id="rId22"/>
    <sheet xmlns:r="http://schemas.openxmlformats.org/officeDocument/2006/relationships" name="CS-22" sheetId="23" state="visible" r:id="rId23"/>
    <sheet xmlns:r="http://schemas.openxmlformats.org/officeDocument/2006/relationships" name="CS-23" sheetId="24" state="visible" r:id="rId24"/>
    <sheet xmlns:r="http://schemas.openxmlformats.org/officeDocument/2006/relationships" name="CS-24" sheetId="25" state="visible" r:id="rId25"/>
    <sheet xmlns:r="http://schemas.openxmlformats.org/officeDocument/2006/relationships" name="CS-25" sheetId="26" state="visible" r:id="rId26"/>
    <sheet xmlns:r="http://schemas.openxmlformats.org/officeDocument/2006/relationships" name="CS-26" sheetId="27" state="visible" r:id="rId27"/>
    <sheet xmlns:r="http://schemas.openxmlformats.org/officeDocument/2006/relationships" name="CS-27" sheetId="28" state="visible" r:id="rId28"/>
    <sheet xmlns:r="http://schemas.openxmlformats.org/officeDocument/2006/relationships" name="CS-28" sheetId="29" state="visible" r:id="rId29"/>
    <sheet xmlns:r="http://schemas.openxmlformats.org/officeDocument/2006/relationships" name="CS-29" sheetId="30" state="visible" r:id="rId30"/>
    <sheet xmlns:r="http://schemas.openxmlformats.org/officeDocument/2006/relationships" name="CS-30" sheetId="31" state="visible" r:id="rId31"/>
    <sheet xmlns:r="http://schemas.openxmlformats.org/officeDocument/2006/relationships" name="CS-31" sheetId="32" state="visible" r:id="rId32"/>
    <sheet xmlns:r="http://schemas.openxmlformats.org/officeDocument/2006/relationships" name="CS-32" sheetId="33" state="visible" r:id="rId33"/>
    <sheet xmlns:r="http://schemas.openxmlformats.org/officeDocument/2006/relationships" name="CS-33" sheetId="34" state="visible" r:id="rId34"/>
    <sheet xmlns:r="http://schemas.openxmlformats.org/officeDocument/2006/relationships" name="CS-34" sheetId="35" state="visible" r:id="rId35"/>
    <sheet xmlns:r="http://schemas.openxmlformats.org/officeDocument/2006/relationships" name="CS-35" sheetId="36" state="visible" r:id="rId36"/>
    <sheet xmlns:r="http://schemas.openxmlformats.org/officeDocument/2006/relationships" name="CS-36" sheetId="37" state="visible" r:id="rId37"/>
    <sheet xmlns:r="http://schemas.openxmlformats.org/officeDocument/2006/relationships" name="CS-37" sheetId="38" state="visible" r:id="rId38"/>
    <sheet xmlns:r="http://schemas.openxmlformats.org/officeDocument/2006/relationships" name="CS-38" sheetId="39" state="visible" r:id="rId39"/>
    <sheet xmlns:r="http://schemas.openxmlformats.org/officeDocument/2006/relationships" name="CS-39" sheetId="40" state="visible" r:id="rId40"/>
    <sheet xmlns:r="http://schemas.openxmlformats.org/officeDocument/2006/relationships" name="CS-40" sheetId="41" state="visible" r:id="rId41"/>
    <sheet xmlns:r="http://schemas.openxmlformats.org/officeDocument/2006/relationships" name="CS-41" sheetId="42" state="visible" r:id="rId42"/>
    <sheet xmlns:r="http://schemas.openxmlformats.org/officeDocument/2006/relationships" name="CS-42" sheetId="43" state="visible" r:id="rId43"/>
    <sheet xmlns:r="http://schemas.openxmlformats.org/officeDocument/2006/relationships" name="CS-43" sheetId="44" state="visible" r:id="rId44"/>
    <sheet xmlns:r="http://schemas.openxmlformats.org/officeDocument/2006/relationships" name="CS-44" sheetId="45" state="visible" r:id="rId45"/>
    <sheet xmlns:r="http://schemas.openxmlformats.org/officeDocument/2006/relationships" name="CS-45" sheetId="46" state="visible" r:id="rId46"/>
    <sheet xmlns:r="http://schemas.openxmlformats.org/officeDocument/2006/relationships" name="CS-46" sheetId="47" state="visible" r:id="rId47"/>
    <sheet xmlns:r="http://schemas.openxmlformats.org/officeDocument/2006/relationships" name="CS-47" sheetId="48" state="visible" r:id="rId48"/>
    <sheet xmlns:r="http://schemas.openxmlformats.org/officeDocument/2006/relationships" name="CS-48" sheetId="49" state="visible" r:id="rId49"/>
    <sheet xmlns:r="http://schemas.openxmlformats.org/officeDocument/2006/relationships" name="CS-49" sheetId="50" state="visible" r:id="rId50"/>
    <sheet xmlns:r="http://schemas.openxmlformats.org/officeDocument/2006/relationships" name="CS-50" sheetId="51" state="visible" r:id="rId51"/>
    <sheet xmlns:r="http://schemas.openxmlformats.org/officeDocument/2006/relationships" name="CS-51" sheetId="52" state="visible" r:id="rId52"/>
    <sheet xmlns:r="http://schemas.openxmlformats.org/officeDocument/2006/relationships" name="CS-52" sheetId="53" state="visible" r:id="rId53"/>
    <sheet xmlns:r="http://schemas.openxmlformats.org/officeDocument/2006/relationships" name="CS-53" sheetId="54" state="visible" r:id="rId54"/>
    <sheet xmlns:r="http://schemas.openxmlformats.org/officeDocument/2006/relationships" name="CS-54" sheetId="55" state="visible" r:id="rId55"/>
    <sheet xmlns:r="http://schemas.openxmlformats.org/officeDocument/2006/relationships" name="CS-55" sheetId="56" state="visible" r:id="rId56"/>
    <sheet xmlns:r="http://schemas.openxmlformats.org/officeDocument/2006/relationships" name="CS-56" sheetId="57" state="visible" r:id="rId57"/>
    <sheet xmlns:r="http://schemas.openxmlformats.org/officeDocument/2006/relationships" name="CS-57" sheetId="58" state="visible" r:id="rId58"/>
    <sheet xmlns:r="http://schemas.openxmlformats.org/officeDocument/2006/relationships" name="CS-58" sheetId="59" state="visible" r:id="rId59"/>
    <sheet xmlns:r="http://schemas.openxmlformats.org/officeDocument/2006/relationships" name="CS-59" sheetId="60" state="visible" r:id="rId60"/>
    <sheet xmlns:r="http://schemas.openxmlformats.org/officeDocument/2006/relationships" name="CS-60" sheetId="61" state="visible" r:id="rId61"/>
    <sheet xmlns:r="http://schemas.openxmlformats.org/officeDocument/2006/relationships" name="Plantilla" sheetId="62" state="visible" r:id="rId62"/>
  </sheets>
  <definedNames/>
  <calcPr calcId="124519" fullCalcOnLoad="1"/>
</workbook>
</file>

<file path=xl/styles.xml><?xml version="1.0" encoding="utf-8"?>
<styleSheet xmlns="http://schemas.openxmlformats.org/spreadsheetml/2006/main">
  <numFmts count="5">
    <numFmt numFmtId="164" formatCode="0.0# &quot;h&quot;;-0.0# &quot;h&quot;;&quot;—&quot;"/>
    <numFmt numFmtId="165" formatCode="yyyy-mm-dd"/>
    <numFmt numFmtId="166" formatCode="DD/MM/YYYY"/>
    <numFmt numFmtId="167" formatCode="&quot;Objetivo &quot;0"/>
    <numFmt numFmtId="168" formatCode="0 &quot;min&quot;;-0 &quot;min&quot;;&quot;—&quot;"/>
  </numFmts>
  <fonts count="13">
    <font>
      <name val="Calibri"/>
      <family val="2"/>
      <color theme="1"/>
      <sz val="11"/>
      <scheme val="minor"/>
    </font>
    <font>
      <name val="Arial"/>
      <b val="1"/>
      <color rgb="001F4E78"/>
      <sz val="16"/>
    </font>
    <font>
      <name val="Arial"/>
      <b val="1"/>
      <color rgb="00595959"/>
      <sz val="11"/>
    </font>
    <font>
      <name val="Arial"/>
      <b val="1"/>
      <color rgb="001F4E78"/>
      <sz val="11"/>
    </font>
    <font>
      <name val="Arial"/>
      <i val="1"/>
      <color rgb="00595959"/>
      <sz val="10"/>
    </font>
    <font>
      <name val="Arial"/>
      <b val="1"/>
      <color rgb="00FFFFFF"/>
      <sz val="11"/>
    </font>
    <font>
      <name val="Arial"/>
      <sz val="11"/>
    </font>
    <font>
      <name val="Arial"/>
      <color rgb="000563C1"/>
      <sz val="11"/>
      <u val="single"/>
    </font>
    <font>
      <name val="Arial"/>
      <b val="1"/>
      <color rgb="00FFFFFF"/>
      <sz val="14"/>
    </font>
    <font>
      <name val="Arial"/>
      <b val="1"/>
      <color rgb="00FFFFFF"/>
      <sz val="11"/>
      <u val="single"/>
    </font>
    <font>
      <name val="Arial"/>
      <b val="1"/>
      <sz val="11"/>
    </font>
    <font>
      <name val="Arial"/>
      <i val="1"/>
      <color rgb="007F7F7F"/>
      <sz val="9"/>
    </font>
    <font>
      <name val="Arial"/>
      <b val="1"/>
      <color rgb="00FFFFFF"/>
      <sz val="12"/>
    </font>
  </fonts>
  <fills count="5">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2F2F2"/>
        <bgColor rgb="00F2F2F2"/>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3" fillId="0" borderId="0" applyAlignment="1" pivotButton="0" quotePrefix="0" xfId="0">
      <alignment horizontal="center" vertical="center"/>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7" fillId="0" borderId="1" applyAlignment="1" pivotButton="0" quotePrefix="0" xfId="0">
      <alignment vertical="top" wrapText="1"/>
    </xf>
    <xf numFmtId="164" fontId="6" fillId="0" borderId="1" applyAlignment="1" pivotButton="0" quotePrefix="0" xfId="0">
      <alignment horizontal="center" vertical="top" wrapText="1"/>
    </xf>
    <xf numFmtId="0" fontId="8" fillId="2" borderId="0" applyAlignment="1" pivotButton="0" quotePrefix="0" xfId="0">
      <alignment vertical="center"/>
    </xf>
    <xf numFmtId="0" fontId="9" fillId="2" borderId="0" applyAlignment="1" pivotButton="0" quotePrefix="0" xfId="0">
      <alignment horizontal="center" vertical="center"/>
    </xf>
    <xf numFmtId="0" fontId="10" fillId="3" borderId="1" applyAlignment="1" pivotButton="0" quotePrefix="0" xfId="0">
      <alignment vertical="top" wrapText="1"/>
    </xf>
    <xf numFmtId="0" fontId="10" fillId="0" borderId="1" applyAlignment="1" pivotButton="0" quotePrefix="0" xfId="0">
      <alignment horizontal="left" vertical="top" wrapText="1"/>
    </xf>
    <xf numFmtId="0" fontId="0" fillId="0" borderId="1" pivotButton="0" quotePrefix="0" xfId="0"/>
    <xf numFmtId="0" fontId="6" fillId="4" borderId="1" applyAlignment="1" pivotButton="0" quotePrefix="0" xfId="0">
      <alignment horizontal="left" vertical="top" wrapText="1"/>
    </xf>
    <xf numFmtId="164" fontId="6" fillId="4" borderId="1" applyAlignment="1" pivotButton="0" quotePrefix="0" xfId="0">
      <alignment horizontal="left" vertical="top" wrapText="1"/>
    </xf>
    <xf numFmtId="0" fontId="6" fillId="0" borderId="1" applyAlignment="1" pivotButton="0" quotePrefix="0" xfId="0">
      <alignment horizontal="left" vertical="top" wrapText="1"/>
    </xf>
    <xf numFmtId="166" fontId="6" fillId="0" borderId="1" applyAlignment="1" pivotButton="0" quotePrefix="0" xfId="0">
      <alignment horizontal="left" vertical="top" wrapText="1"/>
    </xf>
    <xf numFmtId="0" fontId="11" fillId="0" borderId="0" pivotButton="0" quotePrefix="0" xfId="0"/>
    <xf numFmtId="0" fontId="12" fillId="2" borderId="0" applyAlignment="1" pivotButton="0" quotePrefix="0" xfId="0">
      <alignment vertical="center"/>
    </xf>
    <xf numFmtId="0" fontId="5" fillId="2" borderId="1" applyAlignment="1" pivotButton="0" quotePrefix="0" xfId="0">
      <alignment horizontal="center" vertical="center"/>
    </xf>
    <xf numFmtId="167" fontId="10" fillId="0" borderId="1" applyAlignment="1" pivotButton="0" quotePrefix="0" xfId="0">
      <alignment horizontal="center" vertical="top" wrapText="1"/>
    </xf>
    <xf numFmtId="0" fontId="6" fillId="0" borderId="1" applyAlignment="1" pivotButton="0" quotePrefix="0" xfId="0">
      <alignment vertical="top" wrapText="1"/>
    </xf>
    <xf numFmtId="168" fontId="6" fillId="0" borderId="1" applyAlignment="1" pivotButton="0" quotePrefix="0" xfId="0">
      <alignment horizontal="center" vertical="top" wrapText="1"/>
    </xf>
  </cellXfs>
  <cellStyles count="1">
    <cellStyle name="Normal" xfId="0" builtinId="0" hidden="0"/>
  </cellStyles>
  <dxfs count="10">
    <dxf>
      <font>
        <color rgb="00006100"/>
      </font>
      <fill>
        <patternFill patternType="solid">
          <fgColor rgb="00C6EFCE"/>
          <bgColor rgb="00C6EFCE"/>
        </patternFill>
      </fill>
    </dxf>
    <dxf>
      <font>
        <color rgb="00375623"/>
      </font>
      <fill>
        <patternFill patternType="solid">
          <fgColor rgb="00E2EFDA"/>
          <bgColor rgb="00E2EFDA"/>
        </patternFill>
      </fill>
    </dxf>
    <dxf>
      <font>
        <color rgb="009C5700"/>
      </font>
      <fill>
        <patternFill patternType="solid">
          <fgColor rgb="00FFEB9C"/>
          <bgColor rgb="00FFEB9C"/>
        </patternFill>
      </fill>
    </dxf>
    <dxf>
      <font>
        <color rgb="00843C0C"/>
      </font>
      <fill>
        <patternFill patternType="solid">
          <fgColor rgb="00F8CBAD"/>
          <bgColor rgb="00F8CBAD"/>
        </patternFill>
      </fill>
    </dxf>
    <dxf>
      <font>
        <b val="1"/>
        <color rgb="009C0006"/>
      </font>
      <fill>
        <patternFill patternType="solid">
          <fgColor rgb="00FFC7CE"/>
          <bgColor rgb="00FFC7CE"/>
        </patternFill>
      </fill>
    </dxf>
    <dxf>
      <font>
        <color rgb="009C0006"/>
      </font>
      <fill>
        <patternFill patternType="solid">
          <fgColor rgb="00FFC7CE"/>
          <bgColor rgb="00FFC7CE"/>
        </patternFill>
      </fill>
    </dxf>
    <dxf>
      <font>
        <b val="1"/>
        <color rgb="007F6000"/>
      </font>
      <fill>
        <patternFill patternType="solid">
          <fgColor rgb="00FFD966"/>
          <bgColor rgb="00FFD966"/>
        </patternFill>
      </fill>
    </dxf>
    <dxf>
      <font>
        <color rgb="00595959"/>
      </font>
      <fill>
        <patternFill patternType="solid">
          <fgColor rgb="00EDEDED"/>
          <bgColor rgb="00EDEDED"/>
        </patternFill>
      </fill>
    </dxf>
    <dxf>
      <font>
        <b val="1"/>
      </font>
      <fill>
        <patternFill patternType="solid">
          <fgColor rgb="00FFF2CC"/>
          <bgColor rgb="00FFF2CC"/>
        </patternFill>
      </fill>
    </dxf>
    <dxf>
      <font>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tables/table1.xml><?xml version="1.0" encoding="utf-8"?>
<table xmlns="http://schemas.openxmlformats.org/spreadsheetml/2006/main" id="1" name="Historias" displayName="Historias" ref="A3:G63" headerRowCount="1">
  <autoFilter ref="A3:G63"/>
  <tableColumns count="7">
    <tableColumn id="1" name="Ref"/>
    <tableColumn id="2" name="Título"/>
    <tableColumn id="3" name="Riesgo"/>
    <tableColumn id="4" name="Prioridad"/>
    <tableColumn id="5" name="Tiempo estimado"/>
    <tableColumn id="6" name="Tiempo total">
      <calculatedColumnFormula>IF(ISREF(INDIRECT("'"&amp;Historias[[#This Row],[Ref]]&amp;"'!A1")),SUM(INDIRECT("'"&amp;Historias[[#This Row],[Ref]]&amp;"'!F:F"))/60,"")</calculatedColumnFormula>
    </tableColumn>
    <tableColumn id="7" name="Estado">
      <calculatedColumnFormula>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calculatedColumnFormula>
    </tableColumn>
  </tableColumns>
  <tableStyleInfo name="TableStyleLight1" showRowStripes="1"/>
</table>
</file>

<file path=xl/tables/table2.xml><?xml version="1.0" encoding="utf-8"?>
<table xmlns="http://schemas.openxmlformats.org/spreadsheetml/2006/main" id="2" name="Obj_CS01" displayName="Obj_CS01" ref="A16:F17" headerRowCount="1">
  <autoFilter ref="A16:F17"/>
  <tableColumns count="6">
    <tableColumn id="1" name="Objetivo">
      <calculatedColumnFormula>IF(Obj_CS01[[#This Row],[Descripción]]="","",ROW()-ROW(Obj_CS01[[#Headers],[Objetivo]]))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xml><?xml version="1.0" encoding="utf-8"?>
<table xmlns="http://schemas.openxmlformats.org/spreadsheetml/2006/main" id="3" name="Obj_CS02" displayName="Obj_CS02" ref="A16:F17" headerRowCount="1">
  <autoFilter ref="A16:F17"/>
  <tableColumns count="6">
    <tableColumn id="1" name="Objetivo">
      <calculatedColumnFormula>IF(Obj_CS02[[#This Row],[Descripción]]="","",ROW()-ROW(Obj_CS02[[#Headers],[Objetivo]]))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xml><?xml version="1.0" encoding="utf-8"?>
<table xmlns="http://schemas.openxmlformats.org/spreadsheetml/2006/main" id="4" name="Obj_CS03" displayName="Obj_CS03" ref="A16:F17" headerRowCount="1">
  <autoFilter ref="A16:F17"/>
  <tableColumns count="6">
    <tableColumn id="1" name="Objetivo">
      <calculatedColumnFormula>IF(Obj_CS03[[#This Row],[Descripción]]="","",ROW()-ROW(Obj_CS03[[#Headers],[Objetivo]]))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xml><?xml version="1.0" encoding="utf-8"?>
<table xmlns="http://schemas.openxmlformats.org/spreadsheetml/2006/main" id="5" name="Obj_CS04" displayName="Obj_CS04" ref="A16:F17" headerRowCount="1">
  <autoFilter ref="A16:F17"/>
  <tableColumns count="6">
    <tableColumn id="1" name="Objetivo">
      <calculatedColumnFormula>IF(Obj_CS04[[#This Row],[Descripción]]="","",ROW()-ROW(Obj_CS04[[#Headers],[Objetivo]]))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6.xml><?xml version="1.0" encoding="utf-8"?>
<table xmlns="http://schemas.openxmlformats.org/spreadsheetml/2006/main" id="6" name="Obj_CS05" displayName="Obj_CS05" ref="A16:F17" headerRowCount="1">
  <autoFilter ref="A16:F17"/>
  <tableColumns count="6">
    <tableColumn id="1" name="Objetivo">
      <calculatedColumnFormula>IF(Obj_CS05[[#This Row],[Descripción]]="","",ROW()-ROW(Obj_CS05[[#Headers],[Objetivo]]))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7.xml><?xml version="1.0" encoding="utf-8"?>
<table xmlns="http://schemas.openxmlformats.org/spreadsheetml/2006/main" id="7" name="Obj_CS06" displayName="Obj_CS06" ref="A16:F17" headerRowCount="1">
  <autoFilter ref="A16:F17"/>
  <tableColumns count="6">
    <tableColumn id="1" name="Objetivo">
      <calculatedColumnFormula>IF(Obj_CS06[[#This Row],[Descripción]]="","",ROW()-ROW(Obj_CS06[[#Headers],[Objetivo]]))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8.xml><?xml version="1.0" encoding="utf-8"?>
<table xmlns="http://schemas.openxmlformats.org/spreadsheetml/2006/main" id="8" name="Obj_CS07" displayName="Obj_CS07" ref="A16:F17" headerRowCount="1">
  <autoFilter ref="A16:F17"/>
  <tableColumns count="6">
    <tableColumn id="1" name="Objetivo">
      <calculatedColumnFormula>IF(Obj_CS07[[#This Row],[Descripción]]="","",ROW()-ROW(Obj_CS07[[#Headers],[Objetivo]]))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9.xml><?xml version="1.0" encoding="utf-8"?>
<table xmlns="http://schemas.openxmlformats.org/spreadsheetml/2006/main" id="9" name="Obj_CS08" displayName="Obj_CS08" ref="A16:F17" headerRowCount="1">
  <autoFilter ref="A16:F17"/>
  <tableColumns count="6">
    <tableColumn id="1" name="Objetivo">
      <calculatedColumnFormula>IF(Obj_CS08[[#This Row],[Descripción]]="","",ROW()-ROW(Obj_CS08[[#Headers],[Objetivo]]))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0.xml><?xml version="1.0" encoding="utf-8"?>
<table xmlns="http://schemas.openxmlformats.org/spreadsheetml/2006/main" id="10" name="Obj_CS09" displayName="Obj_CS09" ref="A16:F17" headerRowCount="1">
  <autoFilter ref="A16:F17"/>
  <tableColumns count="6">
    <tableColumn id="1" name="Objetivo">
      <calculatedColumnFormula>IF(Obj_CS09[[#This Row],[Descripción]]="","",ROW()-ROW(Obj_CS09[[#Headers],[Objetivo]]))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1.xml><?xml version="1.0" encoding="utf-8"?>
<table xmlns="http://schemas.openxmlformats.org/spreadsheetml/2006/main" id="11" name="Obj_CS10" displayName="Obj_CS10" ref="A16:F17" headerRowCount="1">
  <autoFilter ref="A16:F17"/>
  <tableColumns count="6">
    <tableColumn id="1" name="Objetivo">
      <calculatedColumnFormula>IF(Obj_CS10[[#This Row],[Descripción]]="","",ROW()-ROW(Obj_CS10[[#Headers],[Objetivo]]))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2.xml><?xml version="1.0" encoding="utf-8"?>
<table xmlns="http://schemas.openxmlformats.org/spreadsheetml/2006/main" id="12" name="Obj_CS11" displayName="Obj_CS11" ref="A16:F17" headerRowCount="1">
  <autoFilter ref="A16:F17"/>
  <tableColumns count="6">
    <tableColumn id="1" name="Objetivo">
      <calculatedColumnFormula>IF(Obj_CS11[[#This Row],[Descripción]]="","",ROW()-ROW(Obj_CS11[[#Headers],[Objetivo]]))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3.xml><?xml version="1.0" encoding="utf-8"?>
<table xmlns="http://schemas.openxmlformats.org/spreadsheetml/2006/main" id="13" name="Obj_CS12" displayName="Obj_CS12" ref="A16:F17" headerRowCount="1">
  <autoFilter ref="A16:F17"/>
  <tableColumns count="6">
    <tableColumn id="1" name="Objetivo">
      <calculatedColumnFormula>IF(Obj_CS12[[#This Row],[Descripción]]="","",ROW()-ROW(Obj_CS12[[#Headers],[Objetivo]]))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4.xml><?xml version="1.0" encoding="utf-8"?>
<table xmlns="http://schemas.openxmlformats.org/spreadsheetml/2006/main" id="14" name="Obj_CS13" displayName="Obj_CS13" ref="A16:F17" headerRowCount="1">
  <autoFilter ref="A16:F17"/>
  <tableColumns count="6">
    <tableColumn id="1" name="Objetivo">
      <calculatedColumnFormula>IF(Obj_CS13[[#This Row],[Descripción]]="","",ROW()-ROW(Obj_CS13[[#Headers],[Objetivo]]))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5.xml><?xml version="1.0" encoding="utf-8"?>
<table xmlns="http://schemas.openxmlformats.org/spreadsheetml/2006/main" id="15" name="Obj_CS14" displayName="Obj_CS14" ref="A16:F17" headerRowCount="1">
  <autoFilter ref="A16:F17"/>
  <tableColumns count="6">
    <tableColumn id="1" name="Objetivo">
      <calculatedColumnFormula>IF(Obj_CS14[[#This Row],[Descripción]]="","",ROW()-ROW(Obj_CS14[[#Headers],[Objetivo]]))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6.xml><?xml version="1.0" encoding="utf-8"?>
<table xmlns="http://schemas.openxmlformats.org/spreadsheetml/2006/main" id="16" name="Obj_CS15" displayName="Obj_CS15" ref="A16:F17" headerRowCount="1">
  <autoFilter ref="A16:F17"/>
  <tableColumns count="6">
    <tableColumn id="1" name="Objetivo">
      <calculatedColumnFormula>IF(Obj_CS15[[#This Row],[Descripción]]="","",ROW()-ROW(Obj_CS15[[#Headers],[Objetivo]]))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7.xml><?xml version="1.0" encoding="utf-8"?>
<table xmlns="http://schemas.openxmlformats.org/spreadsheetml/2006/main" id="17" name="Obj_CS16" displayName="Obj_CS16" ref="A16:F17" headerRowCount="1">
  <autoFilter ref="A16:F17"/>
  <tableColumns count="6">
    <tableColumn id="1" name="Objetivo">
      <calculatedColumnFormula>IF(Obj_CS16[[#This Row],[Descripción]]="","",ROW()-ROW(Obj_CS16[[#Headers],[Objetivo]]))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8.xml><?xml version="1.0" encoding="utf-8"?>
<table xmlns="http://schemas.openxmlformats.org/spreadsheetml/2006/main" id="18" name="Obj_CS17" displayName="Obj_CS17" ref="A16:F17" headerRowCount="1">
  <autoFilter ref="A16:F17"/>
  <tableColumns count="6">
    <tableColumn id="1" name="Objetivo">
      <calculatedColumnFormula>IF(Obj_CS17[[#This Row],[Descripción]]="","",ROW()-ROW(Obj_CS17[[#Headers],[Objetivo]]))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19.xml><?xml version="1.0" encoding="utf-8"?>
<table xmlns="http://schemas.openxmlformats.org/spreadsheetml/2006/main" id="19" name="Obj_CS18" displayName="Obj_CS18" ref="A16:F17" headerRowCount="1">
  <autoFilter ref="A16:F17"/>
  <tableColumns count="6">
    <tableColumn id="1" name="Objetivo">
      <calculatedColumnFormula>IF(Obj_CS18[[#This Row],[Descripción]]="","",ROW()-ROW(Obj_CS18[[#Headers],[Objetivo]]))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0.xml><?xml version="1.0" encoding="utf-8"?>
<table xmlns="http://schemas.openxmlformats.org/spreadsheetml/2006/main" id="20" name="Obj_CS19" displayName="Obj_CS19" ref="A16:F17" headerRowCount="1">
  <autoFilter ref="A16:F17"/>
  <tableColumns count="6">
    <tableColumn id="1" name="Objetivo">
      <calculatedColumnFormula>IF(Obj_CS19[[#This Row],[Descripción]]="","",ROW()-ROW(Obj_CS19[[#Headers],[Objetivo]]))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1.xml><?xml version="1.0" encoding="utf-8"?>
<table xmlns="http://schemas.openxmlformats.org/spreadsheetml/2006/main" id="21" name="Obj_CS20" displayName="Obj_CS20" ref="A16:F17" headerRowCount="1">
  <autoFilter ref="A16:F17"/>
  <tableColumns count="6">
    <tableColumn id="1" name="Objetivo">
      <calculatedColumnFormula>IF(Obj_CS20[[#This Row],[Descripción]]="","",ROW()-ROW(Obj_CS20[[#Headers],[Objetivo]]))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2.xml><?xml version="1.0" encoding="utf-8"?>
<table xmlns="http://schemas.openxmlformats.org/spreadsheetml/2006/main" id="22" name="Obj_CS21" displayName="Obj_CS21" ref="A16:F17" headerRowCount="1">
  <autoFilter ref="A16:F17"/>
  <tableColumns count="6">
    <tableColumn id="1" name="Objetivo">
      <calculatedColumnFormula>IF(Obj_CS21[[#This Row],[Descripción]]="","",ROW()-ROW(Obj_CS21[[#Headers],[Objetivo]]))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3.xml><?xml version="1.0" encoding="utf-8"?>
<table xmlns="http://schemas.openxmlformats.org/spreadsheetml/2006/main" id="23" name="Obj_CS22" displayName="Obj_CS22" ref="A16:F17" headerRowCount="1">
  <autoFilter ref="A16:F17"/>
  <tableColumns count="6">
    <tableColumn id="1" name="Objetivo">
      <calculatedColumnFormula>IF(Obj_CS22[[#This Row],[Descripción]]="","",ROW()-ROW(Obj_CS22[[#Headers],[Objetivo]]))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4.xml><?xml version="1.0" encoding="utf-8"?>
<table xmlns="http://schemas.openxmlformats.org/spreadsheetml/2006/main" id="24" name="Obj_CS23" displayName="Obj_CS23" ref="A16:F17" headerRowCount="1">
  <autoFilter ref="A16:F17"/>
  <tableColumns count="6">
    <tableColumn id="1" name="Objetivo">
      <calculatedColumnFormula>IF(Obj_CS23[[#This Row],[Descripción]]="","",ROW()-ROW(Obj_CS23[[#Headers],[Objetivo]]))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5.xml><?xml version="1.0" encoding="utf-8"?>
<table xmlns="http://schemas.openxmlformats.org/spreadsheetml/2006/main" id="25" name="Obj_CS24" displayName="Obj_CS24" ref="A16:F17" headerRowCount="1">
  <autoFilter ref="A16:F17"/>
  <tableColumns count="6">
    <tableColumn id="1" name="Objetivo">
      <calculatedColumnFormula>IF(Obj_CS24[[#This Row],[Descripción]]="","",ROW()-ROW(Obj_CS24[[#Headers],[Objetivo]]))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6.xml><?xml version="1.0" encoding="utf-8"?>
<table xmlns="http://schemas.openxmlformats.org/spreadsheetml/2006/main" id="26" name="Obj_CS25" displayName="Obj_CS25" ref="A16:F17" headerRowCount="1">
  <autoFilter ref="A16:F17"/>
  <tableColumns count="6">
    <tableColumn id="1" name="Objetivo">
      <calculatedColumnFormula>IF(Obj_CS25[[#This Row],[Descripción]]="","",ROW()-ROW(Obj_CS25[[#Headers],[Objetivo]]))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7.xml><?xml version="1.0" encoding="utf-8"?>
<table xmlns="http://schemas.openxmlformats.org/spreadsheetml/2006/main" id="27" name="Obj_CS26" displayName="Obj_CS26" ref="A16:F17" headerRowCount="1">
  <autoFilter ref="A16:F17"/>
  <tableColumns count="6">
    <tableColumn id="1" name="Objetivo">
      <calculatedColumnFormula>IF(Obj_CS26[[#This Row],[Descripción]]="","",ROW()-ROW(Obj_CS26[[#Headers],[Objetivo]]))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8.xml><?xml version="1.0" encoding="utf-8"?>
<table xmlns="http://schemas.openxmlformats.org/spreadsheetml/2006/main" id="28" name="Obj_CS27" displayName="Obj_CS27" ref="A16:F17" headerRowCount="1">
  <autoFilter ref="A16:F17"/>
  <tableColumns count="6">
    <tableColumn id="1" name="Objetivo">
      <calculatedColumnFormula>IF(Obj_CS27[[#This Row],[Descripción]]="","",ROW()-ROW(Obj_CS27[[#Headers],[Objetivo]]))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29.xml><?xml version="1.0" encoding="utf-8"?>
<table xmlns="http://schemas.openxmlformats.org/spreadsheetml/2006/main" id="29" name="Obj_CS28" displayName="Obj_CS28" ref="A16:F17" headerRowCount="1">
  <autoFilter ref="A16:F17"/>
  <tableColumns count="6">
    <tableColumn id="1" name="Objetivo">
      <calculatedColumnFormula>IF(Obj_CS28[[#This Row],[Descripción]]="","",ROW()-ROW(Obj_CS28[[#Headers],[Objetivo]]))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0.xml><?xml version="1.0" encoding="utf-8"?>
<table xmlns="http://schemas.openxmlformats.org/spreadsheetml/2006/main" id="30" name="Obj_CS29" displayName="Obj_CS29" ref="A16:F17" headerRowCount="1">
  <autoFilter ref="A16:F17"/>
  <tableColumns count="6">
    <tableColumn id="1" name="Objetivo">
      <calculatedColumnFormula>IF(Obj_CS29[[#This Row],[Descripción]]="","",ROW()-ROW(Obj_CS29[[#Headers],[Objetivo]]))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1.xml><?xml version="1.0" encoding="utf-8"?>
<table xmlns="http://schemas.openxmlformats.org/spreadsheetml/2006/main" id="31" name="Obj_CS30" displayName="Obj_CS30" ref="A16:F17" headerRowCount="1">
  <autoFilter ref="A16:F17"/>
  <tableColumns count="6">
    <tableColumn id="1" name="Objetivo">
      <calculatedColumnFormula>IF(Obj_CS30[[#This Row],[Descripción]]="","",ROW()-ROW(Obj_CS30[[#Headers],[Objetivo]]))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2.xml><?xml version="1.0" encoding="utf-8"?>
<table xmlns="http://schemas.openxmlformats.org/spreadsheetml/2006/main" id="32" name="Obj_CS31" displayName="Obj_CS31" ref="A16:F17" headerRowCount="1">
  <autoFilter ref="A16:F17"/>
  <tableColumns count="6">
    <tableColumn id="1" name="Objetivo">
      <calculatedColumnFormula>IF(Obj_CS31[[#This Row],[Descripción]]="","",ROW()-ROW(Obj_CS31[[#Headers],[Objetivo]]))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3.xml><?xml version="1.0" encoding="utf-8"?>
<table xmlns="http://schemas.openxmlformats.org/spreadsheetml/2006/main" id="33" name="Obj_CS32" displayName="Obj_CS32" ref="A16:F17" headerRowCount="1">
  <autoFilter ref="A16:F17"/>
  <tableColumns count="6">
    <tableColumn id="1" name="Objetivo">
      <calculatedColumnFormula>IF(Obj_CS32[[#This Row],[Descripción]]="","",ROW()-ROW(Obj_CS32[[#Headers],[Objetivo]]))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4.xml><?xml version="1.0" encoding="utf-8"?>
<table xmlns="http://schemas.openxmlformats.org/spreadsheetml/2006/main" id="34" name="Obj_CS33" displayName="Obj_CS33" ref="A16:F17" headerRowCount="1">
  <autoFilter ref="A16:F17"/>
  <tableColumns count="6">
    <tableColumn id="1" name="Objetivo">
      <calculatedColumnFormula>IF(Obj_CS33[[#This Row],[Descripción]]="","",ROW()-ROW(Obj_CS33[[#Headers],[Objetivo]]))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5.xml><?xml version="1.0" encoding="utf-8"?>
<table xmlns="http://schemas.openxmlformats.org/spreadsheetml/2006/main" id="35" name="Obj_CS34" displayName="Obj_CS34" ref="A16:F17" headerRowCount="1">
  <autoFilter ref="A16:F17"/>
  <tableColumns count="6">
    <tableColumn id="1" name="Objetivo">
      <calculatedColumnFormula>IF(Obj_CS34[[#This Row],[Descripción]]="","",ROW()-ROW(Obj_CS34[[#Headers],[Objetivo]]))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6.xml><?xml version="1.0" encoding="utf-8"?>
<table xmlns="http://schemas.openxmlformats.org/spreadsheetml/2006/main" id="36" name="Obj_CS35" displayName="Obj_CS35" ref="A16:F17" headerRowCount="1">
  <autoFilter ref="A16:F17"/>
  <tableColumns count="6">
    <tableColumn id="1" name="Objetivo">
      <calculatedColumnFormula>IF(Obj_CS35[[#This Row],[Descripción]]="","",ROW()-ROW(Obj_CS35[[#Headers],[Objetivo]]))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7.xml><?xml version="1.0" encoding="utf-8"?>
<table xmlns="http://schemas.openxmlformats.org/spreadsheetml/2006/main" id="37" name="Obj_CS36" displayName="Obj_CS36" ref="A16:F17" headerRowCount="1">
  <autoFilter ref="A16:F17"/>
  <tableColumns count="6">
    <tableColumn id="1" name="Objetivo">
      <calculatedColumnFormula>IF(Obj_CS36[[#This Row],[Descripción]]="","",ROW()-ROW(Obj_CS36[[#Headers],[Objetivo]]))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8.xml><?xml version="1.0" encoding="utf-8"?>
<table xmlns="http://schemas.openxmlformats.org/spreadsheetml/2006/main" id="38" name="Obj_CS37" displayName="Obj_CS37" ref="A16:F17" headerRowCount="1">
  <autoFilter ref="A16:F17"/>
  <tableColumns count="6">
    <tableColumn id="1" name="Objetivo">
      <calculatedColumnFormula>IF(Obj_CS37[[#This Row],[Descripción]]="","",ROW()-ROW(Obj_CS37[[#Headers],[Objetivo]]))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39.xml><?xml version="1.0" encoding="utf-8"?>
<table xmlns="http://schemas.openxmlformats.org/spreadsheetml/2006/main" id="39" name="Obj_CS38" displayName="Obj_CS38" ref="A16:F17" headerRowCount="1">
  <autoFilter ref="A16:F17"/>
  <tableColumns count="6">
    <tableColumn id="1" name="Objetivo">
      <calculatedColumnFormula>IF(Obj_CS38[[#This Row],[Descripción]]="","",ROW()-ROW(Obj_CS38[[#Headers],[Objetivo]]))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0.xml><?xml version="1.0" encoding="utf-8"?>
<table xmlns="http://schemas.openxmlformats.org/spreadsheetml/2006/main" id="40" name="Obj_CS39" displayName="Obj_CS39" ref="A16:F17" headerRowCount="1">
  <autoFilter ref="A16:F17"/>
  <tableColumns count="6">
    <tableColumn id="1" name="Objetivo">
      <calculatedColumnFormula>IF(Obj_CS39[[#This Row],[Descripción]]="","",ROW()-ROW(Obj_CS39[[#Headers],[Objetivo]]))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1.xml><?xml version="1.0" encoding="utf-8"?>
<table xmlns="http://schemas.openxmlformats.org/spreadsheetml/2006/main" id="41" name="Obj_CS40" displayName="Obj_CS40" ref="A16:F17" headerRowCount="1">
  <autoFilter ref="A16:F17"/>
  <tableColumns count="6">
    <tableColumn id="1" name="Objetivo">
      <calculatedColumnFormula>IF(Obj_CS40[[#This Row],[Descripción]]="","",ROW()-ROW(Obj_CS40[[#Headers],[Objetivo]]))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2.xml><?xml version="1.0" encoding="utf-8"?>
<table xmlns="http://schemas.openxmlformats.org/spreadsheetml/2006/main" id="42" name="Obj_CS41" displayName="Obj_CS41" ref="A16:F17" headerRowCount="1">
  <autoFilter ref="A16:F17"/>
  <tableColumns count="6">
    <tableColumn id="1" name="Objetivo">
      <calculatedColumnFormula>IF(Obj_CS41[[#This Row],[Descripción]]="","",ROW()-ROW(Obj_CS41[[#Headers],[Objetivo]]))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3.xml><?xml version="1.0" encoding="utf-8"?>
<table xmlns="http://schemas.openxmlformats.org/spreadsheetml/2006/main" id="43" name="Obj_CS42" displayName="Obj_CS42" ref="A16:F17" headerRowCount="1">
  <autoFilter ref="A16:F17"/>
  <tableColumns count="6">
    <tableColumn id="1" name="Objetivo">
      <calculatedColumnFormula>IF(Obj_CS42[[#This Row],[Descripción]]="","",ROW()-ROW(Obj_CS42[[#Headers],[Objetivo]]))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4.xml><?xml version="1.0" encoding="utf-8"?>
<table xmlns="http://schemas.openxmlformats.org/spreadsheetml/2006/main" id="44" name="Obj_CS43" displayName="Obj_CS43" ref="A16:F17" headerRowCount="1">
  <autoFilter ref="A16:F17"/>
  <tableColumns count="6">
    <tableColumn id="1" name="Objetivo">
      <calculatedColumnFormula>IF(Obj_CS43[[#This Row],[Descripción]]="","",ROW()-ROW(Obj_CS43[[#Headers],[Objetivo]]))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5.xml><?xml version="1.0" encoding="utf-8"?>
<table xmlns="http://schemas.openxmlformats.org/spreadsheetml/2006/main" id="45" name="Obj_CS44" displayName="Obj_CS44" ref="A16:F17" headerRowCount="1">
  <autoFilter ref="A16:F17"/>
  <tableColumns count="6">
    <tableColumn id="1" name="Objetivo">
      <calculatedColumnFormula>IF(Obj_CS44[[#This Row],[Descripción]]="","",ROW()-ROW(Obj_CS44[[#Headers],[Objetivo]]))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6.xml><?xml version="1.0" encoding="utf-8"?>
<table xmlns="http://schemas.openxmlformats.org/spreadsheetml/2006/main" id="46" name="Obj_CS45" displayName="Obj_CS45" ref="A16:F17" headerRowCount="1">
  <autoFilter ref="A16:F17"/>
  <tableColumns count="6">
    <tableColumn id="1" name="Objetivo">
      <calculatedColumnFormula>IF(Obj_CS45[[#This Row],[Descripción]]="","",ROW()-ROW(Obj_CS45[[#Headers],[Objetivo]]))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7.xml><?xml version="1.0" encoding="utf-8"?>
<table xmlns="http://schemas.openxmlformats.org/spreadsheetml/2006/main" id="47" name="Obj_CS46" displayName="Obj_CS46" ref="A16:F17" headerRowCount="1">
  <autoFilter ref="A16:F17"/>
  <tableColumns count="6">
    <tableColumn id="1" name="Objetivo">
      <calculatedColumnFormula>IF(Obj_CS46[[#This Row],[Descripción]]="","",ROW()-ROW(Obj_CS46[[#Headers],[Objetivo]]))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8.xml><?xml version="1.0" encoding="utf-8"?>
<table xmlns="http://schemas.openxmlformats.org/spreadsheetml/2006/main" id="48" name="Obj_CS47" displayName="Obj_CS47" ref="A16:F27" headerRowCount="1">
  <autoFilter ref="A16:F27"/>
  <tableColumns count="6">
    <tableColumn id="1" name="Objetivo">
      <calculatedColumnFormula>IF(Obj_CS47[[#This Row],[Descripción]]="","",ROW()-ROW(Obj_CS47[[#Headers],[Objetivo]]))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49.xml><?xml version="1.0" encoding="utf-8"?>
<table xmlns="http://schemas.openxmlformats.org/spreadsheetml/2006/main" id="49" name="Obj_CS48" displayName="Obj_CS48" ref="A16:F17" headerRowCount="1">
  <autoFilter ref="A16:F17"/>
  <tableColumns count="6">
    <tableColumn id="1" name="Objetivo">
      <calculatedColumnFormula>IF(Obj_CS48[[#This Row],[Descripción]]="","",ROW()-ROW(Obj_CS48[[#Headers],[Objetivo]]))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0.xml><?xml version="1.0" encoding="utf-8"?>
<table xmlns="http://schemas.openxmlformats.org/spreadsheetml/2006/main" id="50" name="Obj_CS49" displayName="Obj_CS49" ref="A16:F25" headerRowCount="1">
  <autoFilter ref="A16:F25"/>
  <tableColumns count="6">
    <tableColumn id="1" name="Objetivo">
      <calculatedColumnFormula>IF(Obj_CS49[[#This Row],[Descripción]]="","",ROW()-ROW(Obj_CS49[[#Headers],[Objetivo]]))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1.xml><?xml version="1.0" encoding="utf-8"?>
<table xmlns="http://schemas.openxmlformats.org/spreadsheetml/2006/main" id="51" name="Obj_CS50" displayName="Obj_CS50" ref="A16:F17" headerRowCount="1">
  <autoFilter ref="A16:F17"/>
  <tableColumns count="6">
    <tableColumn id="1" name="Objetivo">
      <calculatedColumnFormula>IF(Obj_CS50[[#This Row],[Descripción]]="","",ROW()-ROW(Obj_CS50[[#Headers],[Objetivo]]))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2.xml><?xml version="1.0" encoding="utf-8"?>
<table xmlns="http://schemas.openxmlformats.org/spreadsheetml/2006/main" id="52" name="Obj_CS51" displayName="Obj_CS51" ref="A16:F17" headerRowCount="1">
  <autoFilter ref="A16:F17"/>
  <tableColumns count="6">
    <tableColumn id="1" name="Objetivo">
      <calculatedColumnFormula>IF(Obj_CS51[[#This Row],[Descripción]]="","",ROW()-ROW(Obj_CS51[[#Headers],[Objetivo]]))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3.xml><?xml version="1.0" encoding="utf-8"?>
<table xmlns="http://schemas.openxmlformats.org/spreadsheetml/2006/main" id="53" name="Obj_CS52" displayName="Obj_CS52" ref="A16:F17" headerRowCount="1">
  <autoFilter ref="A16:F17"/>
  <tableColumns count="6">
    <tableColumn id="1" name="Objetivo">
      <calculatedColumnFormula>IF(Obj_CS52[[#This Row],[Descripción]]="","",ROW()-ROW(Obj_CS52[[#Headers],[Objetivo]]))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4.xml><?xml version="1.0" encoding="utf-8"?>
<table xmlns="http://schemas.openxmlformats.org/spreadsheetml/2006/main" id="54" name="Obj_CS53" displayName="Obj_CS53" ref="A16:F17" headerRowCount="1">
  <autoFilter ref="A16:F17"/>
  <tableColumns count="6">
    <tableColumn id="1" name="Objetivo">
      <calculatedColumnFormula>IF(Obj_CS53[[#This Row],[Descripción]]="","",ROW()-ROW(Obj_CS53[[#Headers],[Objetivo]]))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5.xml><?xml version="1.0" encoding="utf-8"?>
<table xmlns="http://schemas.openxmlformats.org/spreadsheetml/2006/main" id="55" name="Obj_CS54" displayName="Obj_CS54" ref="A16:F17" headerRowCount="1">
  <autoFilter ref="A16:F17"/>
  <tableColumns count="6">
    <tableColumn id="1" name="Objetivo">
      <calculatedColumnFormula>IF(Obj_CS54[[#This Row],[Descripción]]="","",ROW()-ROW(Obj_CS54[[#Headers],[Objetivo]]))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6.xml><?xml version="1.0" encoding="utf-8"?>
<table xmlns="http://schemas.openxmlformats.org/spreadsheetml/2006/main" id="56" name="Obj_CS55" displayName="Obj_CS55" ref="A16:F17" headerRowCount="1">
  <autoFilter ref="A16:F17"/>
  <tableColumns count="6">
    <tableColumn id="1" name="Objetivo">
      <calculatedColumnFormula>IF(Obj_CS55[[#This Row],[Descripción]]="","",ROW()-ROW(Obj_CS55[[#Headers],[Objetivo]]))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7.xml><?xml version="1.0" encoding="utf-8"?>
<table xmlns="http://schemas.openxmlformats.org/spreadsheetml/2006/main" id="57" name="Obj_CS56" displayName="Obj_CS56" ref="A16:F17" headerRowCount="1">
  <autoFilter ref="A16:F17"/>
  <tableColumns count="6">
    <tableColumn id="1" name="Objetivo">
      <calculatedColumnFormula>IF(Obj_CS56[[#This Row],[Descripción]]="","",ROW()-ROW(Obj_CS56[[#Headers],[Objetivo]]))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8.xml><?xml version="1.0" encoding="utf-8"?>
<table xmlns="http://schemas.openxmlformats.org/spreadsheetml/2006/main" id="58" name="Obj_CS57" displayName="Obj_CS57" ref="A16:F24" headerRowCount="1">
  <autoFilter ref="A16:F24"/>
  <tableColumns count="6">
    <tableColumn id="1" name="Objetivo">
      <calculatedColumnFormula>IF(Obj_CS57[[#This Row],[Descripción]]="","",ROW()-ROW(Obj_CS57[[#Headers],[Objetivo]]))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59.xml><?xml version="1.0" encoding="utf-8"?>
<table xmlns="http://schemas.openxmlformats.org/spreadsheetml/2006/main" id="59" name="Obj_CS58" displayName="Obj_CS58" ref="A16:F17" headerRowCount="1">
  <autoFilter ref="A16:F17"/>
  <tableColumns count="6">
    <tableColumn id="1" name="Objetivo">
      <calculatedColumnFormula>IF(Obj_CS58[[#This Row],[Descripción]]="","",ROW()-ROW(Obj_CS58[[#Headers],[Objetivo]]))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60.xml><?xml version="1.0" encoding="utf-8"?>
<table xmlns="http://schemas.openxmlformats.org/spreadsheetml/2006/main" id="60" name="Obj_CS59" displayName="Obj_CS59" ref="A16:F23" headerRowCount="1">
  <autoFilter ref="A16:F23"/>
  <tableColumns count="6">
    <tableColumn id="1" name="Objetivo">
      <calculatedColumnFormula>IF(Obj_CS59[[#This Row],[Descripción]]="","",ROW()-ROW(Obj_CS59[[#Headers],[Objetivo]]))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61.xml><?xml version="1.0" encoding="utf-8"?>
<table xmlns="http://schemas.openxmlformats.org/spreadsheetml/2006/main" id="61" name="Obj_CS60" displayName="Obj_CS60" ref="A16:F17" headerRowCount="1">
  <autoFilter ref="A16:F17"/>
  <tableColumns count="6">
    <tableColumn id="1" name="Objetivo">
      <calculatedColumnFormula>IF(Obj_CS60[[#This Row],[Descripción]]="","",ROW()-ROW(Obj_CS60[[#Headers],[Objetivo]]))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ables/table62.xml><?xml version="1.0" encoding="utf-8"?>
<table xmlns="http://schemas.openxmlformats.org/spreadsheetml/2006/main" id="62" name="Obj_Plantilla" displayName="Obj_Plantilla" ref="A16:F17" headerRowCount="1">
  <autoFilter ref="A16:F17"/>
  <tableColumns count="6">
    <tableColumn id="1" name="Objetivo">
      <calculatedColumnFormula>IF(Obj_Plantilla[[#This Row],[Descripción]]="","",ROW()-ROW(Obj_Plantilla[[#Headers],[Objetivo]]))</calculatedColumnFormula>
    </tableColumn>
    <tableColumn id="2" name="Descripción"/>
    <tableColumn id="3" name="Finalizado"/>
    <tableColumn id="4" name="Responsable"/>
    <tableColumn id="5" name="Tiempo estimado"/>
    <tableColumn id="6" name="Tiempo total"/>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_rels/sheet17.xml.rels><Relationships xmlns="http://schemas.openxmlformats.org/package/2006/relationships"><Relationship Type="http://schemas.openxmlformats.org/officeDocument/2006/relationships/table" Target="/xl/tables/table17.xml" Id="rId1"/></Relationships>
</file>

<file path=xl/worksheets/_rels/sheet18.xml.rels><Relationships xmlns="http://schemas.openxmlformats.org/package/2006/relationships"><Relationship Type="http://schemas.openxmlformats.org/officeDocument/2006/relationships/table" Target="/xl/tables/table18.xml" Id="rId1"/></Relationships>
</file>

<file path=xl/worksheets/_rels/sheet19.xml.rels><Relationships xmlns="http://schemas.openxmlformats.org/package/2006/relationships"><Relationship Type="http://schemas.openxmlformats.org/officeDocument/2006/relationships/table" Target="/xl/tables/table19.xml" Id="rId1"/></Relationships>
</file>

<file path=xl/worksheets/_rels/sheet20.xml.rels><Relationships xmlns="http://schemas.openxmlformats.org/package/2006/relationships"><Relationship Type="http://schemas.openxmlformats.org/officeDocument/2006/relationships/table" Target="/xl/tables/table20.xml" Id="rId1"/></Relationships>
</file>

<file path=xl/worksheets/_rels/sheet21.xml.rels><Relationships xmlns="http://schemas.openxmlformats.org/package/2006/relationships"><Relationship Type="http://schemas.openxmlformats.org/officeDocument/2006/relationships/table" Target="/xl/tables/table21.xml" Id="rId1"/></Relationships>
</file>

<file path=xl/worksheets/_rels/sheet22.xml.rels><Relationships xmlns="http://schemas.openxmlformats.org/package/2006/relationships"><Relationship Type="http://schemas.openxmlformats.org/officeDocument/2006/relationships/table" Target="/xl/tables/table22.xml" Id="rId1"/></Relationships>
</file>

<file path=xl/worksheets/_rels/sheet23.xml.rels><Relationships xmlns="http://schemas.openxmlformats.org/package/2006/relationships"><Relationship Type="http://schemas.openxmlformats.org/officeDocument/2006/relationships/table" Target="/xl/tables/table23.xml" Id="rId1"/></Relationships>
</file>

<file path=xl/worksheets/_rels/sheet24.xml.rels><Relationships xmlns="http://schemas.openxmlformats.org/package/2006/relationships"><Relationship Type="http://schemas.openxmlformats.org/officeDocument/2006/relationships/table" Target="/xl/tables/table24.xml" Id="rId1"/></Relationships>
</file>

<file path=xl/worksheets/_rels/sheet25.xml.rels><Relationships xmlns="http://schemas.openxmlformats.org/package/2006/relationships"><Relationship Type="http://schemas.openxmlformats.org/officeDocument/2006/relationships/table" Target="/xl/tables/table25.xml" Id="rId1"/></Relationships>
</file>

<file path=xl/worksheets/_rels/sheet26.xml.rels><Relationships xmlns="http://schemas.openxmlformats.org/package/2006/relationships"><Relationship Type="http://schemas.openxmlformats.org/officeDocument/2006/relationships/table" Target="/xl/tables/table26.xml" Id="rId1"/></Relationships>
</file>

<file path=xl/worksheets/_rels/sheet27.xml.rels><Relationships xmlns="http://schemas.openxmlformats.org/package/2006/relationships"><Relationship Type="http://schemas.openxmlformats.org/officeDocument/2006/relationships/table" Target="/xl/tables/table27.xml" Id="rId1"/></Relationships>
</file>

<file path=xl/worksheets/_rels/sheet28.xml.rels><Relationships xmlns="http://schemas.openxmlformats.org/package/2006/relationships"><Relationship Type="http://schemas.openxmlformats.org/officeDocument/2006/relationships/table" Target="/xl/tables/table28.xml" Id="rId1"/></Relationships>
</file>

<file path=xl/worksheets/_rels/sheet29.xml.rels><Relationships xmlns="http://schemas.openxmlformats.org/package/2006/relationships"><Relationship Type="http://schemas.openxmlformats.org/officeDocument/2006/relationships/table" Target="/xl/tables/table29.xml" Id="rId1"/></Relationships>
</file>

<file path=xl/worksheets/_rels/sheet30.xml.rels><Relationships xmlns="http://schemas.openxmlformats.org/package/2006/relationships"><Relationship Type="http://schemas.openxmlformats.org/officeDocument/2006/relationships/table" Target="/xl/tables/table30.xml" Id="rId1"/></Relationships>
</file>

<file path=xl/worksheets/_rels/sheet31.xml.rels><Relationships xmlns="http://schemas.openxmlformats.org/package/2006/relationships"><Relationship Type="http://schemas.openxmlformats.org/officeDocument/2006/relationships/table" Target="/xl/tables/table31.xml" Id="rId1"/></Relationships>
</file>

<file path=xl/worksheets/_rels/sheet32.xml.rels><Relationships xmlns="http://schemas.openxmlformats.org/package/2006/relationships"><Relationship Type="http://schemas.openxmlformats.org/officeDocument/2006/relationships/table" Target="/xl/tables/table32.xml" Id="rId1"/></Relationships>
</file>

<file path=xl/worksheets/_rels/sheet33.xml.rels><Relationships xmlns="http://schemas.openxmlformats.org/package/2006/relationships"><Relationship Type="http://schemas.openxmlformats.org/officeDocument/2006/relationships/table" Target="/xl/tables/table33.xml" Id="rId1"/></Relationships>
</file>

<file path=xl/worksheets/_rels/sheet34.xml.rels><Relationships xmlns="http://schemas.openxmlformats.org/package/2006/relationships"><Relationship Type="http://schemas.openxmlformats.org/officeDocument/2006/relationships/table" Target="/xl/tables/table34.xml" Id="rId1"/></Relationships>
</file>

<file path=xl/worksheets/_rels/sheet35.xml.rels><Relationships xmlns="http://schemas.openxmlformats.org/package/2006/relationships"><Relationship Type="http://schemas.openxmlformats.org/officeDocument/2006/relationships/table" Target="/xl/tables/table35.xml" Id="rId1"/></Relationships>
</file>

<file path=xl/worksheets/_rels/sheet36.xml.rels><Relationships xmlns="http://schemas.openxmlformats.org/package/2006/relationships"><Relationship Type="http://schemas.openxmlformats.org/officeDocument/2006/relationships/table" Target="/xl/tables/table36.xml" Id="rId1"/></Relationships>
</file>

<file path=xl/worksheets/_rels/sheet37.xml.rels><Relationships xmlns="http://schemas.openxmlformats.org/package/2006/relationships"><Relationship Type="http://schemas.openxmlformats.org/officeDocument/2006/relationships/table" Target="/xl/tables/table37.xml" Id="rId1"/></Relationships>
</file>

<file path=xl/worksheets/_rels/sheet38.xml.rels><Relationships xmlns="http://schemas.openxmlformats.org/package/2006/relationships"><Relationship Type="http://schemas.openxmlformats.org/officeDocument/2006/relationships/table" Target="/xl/tables/table38.xml" Id="rId1"/></Relationships>
</file>

<file path=xl/worksheets/_rels/sheet39.xml.rels><Relationships xmlns="http://schemas.openxmlformats.org/package/2006/relationships"><Relationship Type="http://schemas.openxmlformats.org/officeDocument/2006/relationships/table" Target="/xl/tables/table39.xml" Id="rId1"/></Relationships>
</file>

<file path=xl/worksheets/_rels/sheet40.xml.rels><Relationships xmlns="http://schemas.openxmlformats.org/package/2006/relationships"><Relationship Type="http://schemas.openxmlformats.org/officeDocument/2006/relationships/table" Target="/xl/tables/table40.xml" Id="rId1"/></Relationships>
</file>

<file path=xl/worksheets/_rels/sheet41.xml.rels><Relationships xmlns="http://schemas.openxmlformats.org/package/2006/relationships"><Relationship Type="http://schemas.openxmlformats.org/officeDocument/2006/relationships/table" Target="/xl/tables/table41.xml" Id="rId1"/></Relationships>
</file>

<file path=xl/worksheets/_rels/sheet42.xml.rels><Relationships xmlns="http://schemas.openxmlformats.org/package/2006/relationships"><Relationship Type="http://schemas.openxmlformats.org/officeDocument/2006/relationships/table" Target="/xl/tables/table42.xml" Id="rId1"/></Relationships>
</file>

<file path=xl/worksheets/_rels/sheet43.xml.rels><Relationships xmlns="http://schemas.openxmlformats.org/package/2006/relationships"><Relationship Type="http://schemas.openxmlformats.org/officeDocument/2006/relationships/table" Target="/xl/tables/table43.xml" Id="rId1"/></Relationships>
</file>

<file path=xl/worksheets/_rels/sheet44.xml.rels><Relationships xmlns="http://schemas.openxmlformats.org/package/2006/relationships"><Relationship Type="http://schemas.openxmlformats.org/officeDocument/2006/relationships/table" Target="/xl/tables/table44.xml" Id="rId1"/></Relationships>
</file>

<file path=xl/worksheets/_rels/sheet45.xml.rels><Relationships xmlns="http://schemas.openxmlformats.org/package/2006/relationships"><Relationship Type="http://schemas.openxmlformats.org/officeDocument/2006/relationships/table" Target="/xl/tables/table45.xml" Id="rId1"/></Relationships>
</file>

<file path=xl/worksheets/_rels/sheet46.xml.rels><Relationships xmlns="http://schemas.openxmlformats.org/package/2006/relationships"><Relationship Type="http://schemas.openxmlformats.org/officeDocument/2006/relationships/table" Target="/xl/tables/table46.xml" Id="rId1"/></Relationships>
</file>

<file path=xl/worksheets/_rels/sheet47.xml.rels><Relationships xmlns="http://schemas.openxmlformats.org/package/2006/relationships"><Relationship Type="http://schemas.openxmlformats.org/officeDocument/2006/relationships/table" Target="/xl/tables/table47.xml" Id="rId1"/></Relationships>
</file>

<file path=xl/worksheets/_rels/sheet48.xml.rels><Relationships xmlns="http://schemas.openxmlformats.org/package/2006/relationships"><Relationship Type="http://schemas.openxmlformats.org/officeDocument/2006/relationships/table" Target="/xl/tables/table48.xml" Id="rId1"/></Relationships>
</file>

<file path=xl/worksheets/_rels/sheet49.xml.rels><Relationships xmlns="http://schemas.openxmlformats.org/package/2006/relationships"><Relationship Type="http://schemas.openxmlformats.org/officeDocument/2006/relationships/table" Target="/xl/tables/table49.xml" Id="rId1"/></Relationships>
</file>

<file path=xl/worksheets/_rels/sheet50.xml.rels><Relationships xmlns="http://schemas.openxmlformats.org/package/2006/relationships"><Relationship Type="http://schemas.openxmlformats.org/officeDocument/2006/relationships/table" Target="/xl/tables/table50.xml" Id="rId1"/></Relationships>
</file>

<file path=xl/worksheets/_rels/sheet51.xml.rels><Relationships xmlns="http://schemas.openxmlformats.org/package/2006/relationships"><Relationship Type="http://schemas.openxmlformats.org/officeDocument/2006/relationships/table" Target="/xl/tables/table51.xml" Id="rId1"/></Relationships>
</file>

<file path=xl/worksheets/_rels/sheet52.xml.rels><Relationships xmlns="http://schemas.openxmlformats.org/package/2006/relationships"><Relationship Type="http://schemas.openxmlformats.org/officeDocument/2006/relationships/table" Target="/xl/tables/table52.xml" Id="rId1"/></Relationships>
</file>

<file path=xl/worksheets/_rels/sheet53.xml.rels><Relationships xmlns="http://schemas.openxmlformats.org/package/2006/relationships"><Relationship Type="http://schemas.openxmlformats.org/officeDocument/2006/relationships/table" Target="/xl/tables/table53.xml" Id="rId1"/></Relationships>
</file>

<file path=xl/worksheets/_rels/sheet54.xml.rels><Relationships xmlns="http://schemas.openxmlformats.org/package/2006/relationships"><Relationship Type="http://schemas.openxmlformats.org/officeDocument/2006/relationships/table" Target="/xl/tables/table54.xml" Id="rId1"/></Relationships>
</file>

<file path=xl/worksheets/_rels/sheet55.xml.rels><Relationships xmlns="http://schemas.openxmlformats.org/package/2006/relationships"><Relationship Type="http://schemas.openxmlformats.org/officeDocument/2006/relationships/table" Target="/xl/tables/table55.xml" Id="rId1"/></Relationships>
</file>

<file path=xl/worksheets/_rels/sheet56.xml.rels><Relationships xmlns="http://schemas.openxmlformats.org/package/2006/relationships"><Relationship Type="http://schemas.openxmlformats.org/officeDocument/2006/relationships/table" Target="/xl/tables/table56.xml" Id="rId1"/></Relationships>
</file>

<file path=xl/worksheets/_rels/sheet57.xml.rels><Relationships xmlns="http://schemas.openxmlformats.org/package/2006/relationships"><Relationship Type="http://schemas.openxmlformats.org/officeDocument/2006/relationships/table" Target="/xl/tables/table57.xml" Id="rId1"/></Relationships>
</file>

<file path=xl/worksheets/_rels/sheet58.xml.rels><Relationships xmlns="http://schemas.openxmlformats.org/package/2006/relationships"><Relationship Type="http://schemas.openxmlformats.org/officeDocument/2006/relationships/table" Target="/xl/tables/table58.xml" Id="rId1"/></Relationships>
</file>

<file path=xl/worksheets/_rels/sheet59.xml.rels><Relationships xmlns="http://schemas.openxmlformats.org/package/2006/relationships"><Relationship Type="http://schemas.openxmlformats.org/officeDocument/2006/relationships/table" Target="/xl/tables/table59.xml" Id="rId1"/></Relationships>
</file>

<file path=xl/worksheets/_rels/sheet60.xml.rels><Relationships xmlns="http://schemas.openxmlformats.org/package/2006/relationships"><Relationship Type="http://schemas.openxmlformats.org/officeDocument/2006/relationships/table" Target="/xl/tables/table60.xml" Id="rId1"/></Relationships>
</file>

<file path=xl/worksheets/_rels/sheet61.xml.rels><Relationships xmlns="http://schemas.openxmlformats.org/package/2006/relationships"><Relationship Type="http://schemas.openxmlformats.org/officeDocument/2006/relationships/table" Target="/xl/tables/table61.xml" Id="rId1"/></Relationships>
</file>

<file path=xl/worksheets/_rels/sheet62.xml.rels><Relationships xmlns="http://schemas.openxmlformats.org/package/2006/relationships"><Relationship Type="http://schemas.openxmlformats.org/officeDocument/2006/relationships/table" Target="/xl/tables/table62.xml" Id="rId1"/></Relationships>
</file>

<file path=xl/worksheets/sheet1.xml><?xml version="1.0" encoding="utf-8"?>
<worksheet xmlns="http://schemas.openxmlformats.org/spreadsheetml/2006/main">
  <sheetPr>
    <outlinePr summaryBelow="1" summaryRight="1"/>
    <pageSetUpPr fitToPage="1"/>
  </sheetPr>
  <dimension ref="A1:G63"/>
  <sheetViews>
    <sheetView workbookViewId="0">
      <pane ySplit="3" topLeftCell="A4" activePane="bottomLeft" state="frozen"/>
      <selection pane="bottomLeft" activeCell="A1" sqref="A1"/>
    </sheetView>
  </sheetViews>
  <sheetFormatPr baseColWidth="8" defaultRowHeight="15"/>
  <cols>
    <col width="10" customWidth="1" min="1" max="1"/>
    <col width="52" customWidth="1" min="2" max="2"/>
    <col width="13" customWidth="1" min="3" max="3"/>
    <col width="11" customWidth="1" min="4" max="4"/>
    <col width="17" customWidth="1" min="5" max="5"/>
    <col width="14" customWidth="1" min="6" max="6"/>
    <col width="14" customWidth="1" min="7" max="7"/>
  </cols>
  <sheetData>
    <row r="1" ht="24" customHeight="1">
      <c r="A1" s="1" t="inlineStr">
        <is>
          <t>Customer Stories · PlanB</t>
        </is>
      </c>
      <c r="F1" s="2" t="inlineStr">
        <is>
          <t>Próxima ref.</t>
        </is>
      </c>
      <c r="G1" s="3">
        <f>"CS-"&amp;TEXT(IFERROR(_xlfn.AGGREGATE(14,6,--MID(Historias[Ref],4,9),1),0)+1,"00")</f>
        <v/>
      </c>
    </row>
    <row r="2" ht="30" customHeight="1">
      <c r="A2" s="4" t="inlineStr">
        <is>
          <t>Nueva story: escribe su título en la fila vacía de debajo de la tabla y pulsa «Crear páginas»; se rellenan su referencia y su página. Riesgo, Prioridad y Tiempo estimado (horas) se editan aquí; Tiempo total y Estado se calculan solos a partir de los objetivos de cada página.</t>
        </is>
      </c>
    </row>
    <row r="3">
      <c r="A3" s="5" t="inlineStr">
        <is>
          <t>Ref</t>
        </is>
      </c>
      <c r="B3" s="5" t="inlineStr">
        <is>
          <t>Título</t>
        </is>
      </c>
      <c r="C3" s="5" t="inlineStr">
        <is>
          <t>Riesgo</t>
        </is>
      </c>
      <c r="D3" s="5" t="inlineStr">
        <is>
          <t>Prioridad</t>
        </is>
      </c>
      <c r="E3" s="5" t="inlineStr">
        <is>
          <t>Tiempo estimado</t>
        </is>
      </c>
      <c r="F3" s="5" t="inlineStr">
        <is>
          <t>Tiempo total</t>
        </is>
      </c>
      <c r="G3" s="5" t="inlineStr">
        <is>
          <t>Estado</t>
        </is>
      </c>
    </row>
    <row r="4" ht="18" customHeight="1">
      <c r="A4" s="6" t="inlineStr">
        <is>
          <t>CS-01</t>
        </is>
      </c>
      <c r="B4" s="7" t="inlineStr">
        <is>
          <t>VALORAR UNA EXPERIENCIA</t>
        </is>
      </c>
      <c r="C4" s="6" t="n"/>
      <c r="D4" s="6" t="n"/>
      <c r="E4" s="8" t="n"/>
      <c r="F4" s="8">
        <f>IF(ISREF(INDIRECT("'"&amp;Historias[[#This Row],[Ref]]&amp;"'!A1")),SUM(INDIRECT("'"&amp;Historias[[#This Row],[Ref]]&amp;"'!F:F"))/60,"")</f>
        <v/>
      </c>
      <c r="G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 ht="18" customHeight="1">
      <c r="A5" s="6" t="inlineStr">
        <is>
          <t>CS-02</t>
        </is>
      </c>
      <c r="B5" s="7" t="inlineStr">
        <is>
          <t>COMENTAR Y MARCAR ÚTIL</t>
        </is>
      </c>
      <c r="C5" s="6" t="n"/>
      <c r="D5" s="6" t="n"/>
      <c r="E5" s="8" t="n"/>
      <c r="F5" s="8">
        <f>IF(ISREF(INDIRECT("'"&amp;Historias[[#This Row],[Ref]]&amp;"'!A1")),SUM(INDIRECT("'"&amp;Historias[[#This Row],[Ref]]&amp;"'!F:F"))/60,"")</f>
        <v/>
      </c>
      <c r="G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6" ht="18" customHeight="1">
      <c r="A6" s="6" t="inlineStr">
        <is>
          <t>CS-03</t>
        </is>
      </c>
      <c r="B6" s="7" t="inlineStr">
        <is>
          <t>SEÑALAR INFORMACIÓN DESACTUALIZADA</t>
        </is>
      </c>
      <c r="C6" s="6" t="n"/>
      <c r="D6" s="6" t="n"/>
      <c r="E6" s="8" t="n"/>
      <c r="F6" s="8">
        <f>IF(ISREF(INDIRECT("'"&amp;Historias[[#This Row],[Ref]]&amp;"'!A1")),SUM(INDIRECT("'"&amp;Historias[[#This Row],[Ref]]&amp;"'!F:F"))/60,"")</f>
        <v/>
      </c>
      <c r="G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7" ht="18" customHeight="1">
      <c r="A7" s="6" t="inlineStr">
        <is>
          <t>CS-04</t>
        </is>
      </c>
      <c r="B7" s="7" t="inlineStr">
        <is>
          <t>REPORTAR CONTENIDO</t>
        </is>
      </c>
      <c r="C7" s="6" t="inlineStr">
        <is>
          <t>Bajo</t>
        </is>
      </c>
      <c r="D7" s="6" t="inlineStr">
        <is>
          <t>N</t>
        </is>
      </c>
      <c r="E7" s="8" t="n">
        <v>5</v>
      </c>
      <c r="F7" s="8">
        <f>IF(ISREF(INDIRECT("'"&amp;Historias[[#This Row],[Ref]]&amp;"'!A1")),SUM(INDIRECT("'"&amp;Historias[[#This Row],[Ref]]&amp;"'!F:F"))/60,"")</f>
        <v/>
      </c>
      <c r="G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8" ht="18" customHeight="1">
      <c r="A8" s="6" t="inlineStr">
        <is>
          <t>CS-05</t>
        </is>
      </c>
      <c r="B8" s="7" t="inlineStr">
        <is>
          <t>REVISAR REPORTES PENDIENTES</t>
        </is>
      </c>
      <c r="C8" s="6" t="n"/>
      <c r="D8" s="6" t="n"/>
      <c r="E8" s="8" t="n"/>
      <c r="F8" s="8">
        <f>IF(ISREF(INDIRECT("'"&amp;Historias[[#This Row],[Ref]]&amp;"'!A1")),SUM(INDIRECT("'"&amp;Historias[[#This Row],[Ref]]&amp;"'!F:F"))/60,"")</f>
        <v/>
      </c>
      <c r="G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9" ht="18" customHeight="1">
      <c r="A9" s="6" t="inlineStr">
        <is>
          <t>CS-06</t>
        </is>
      </c>
      <c r="B9" s="7" t="inlineStr">
        <is>
          <t>RETIRAR CONTENIDO Y CERRAR REPORTE</t>
        </is>
      </c>
      <c r="C9" s="6" t="n"/>
      <c r="D9" s="6" t="inlineStr">
        <is>
          <t>IM</t>
        </is>
      </c>
      <c r="E9" s="8" t="n"/>
      <c r="F9" s="8">
        <f>IF(ISREF(INDIRECT("'"&amp;Historias[[#This Row],[Ref]]&amp;"'!A1")),SUM(INDIRECT("'"&amp;Historias[[#This Row],[Ref]]&amp;"'!F:F"))/60,"")</f>
        <v/>
      </c>
      <c r="G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0" ht="18" customHeight="1">
      <c r="A10" s="6" t="inlineStr">
        <is>
          <t>CS-07</t>
        </is>
      </c>
      <c r="B10" s="7" t="inlineStr">
        <is>
          <t>AVISOS DE ACTIVIDAD</t>
        </is>
      </c>
      <c r="C10" s="6" t="inlineStr">
        <is>
          <t>Bajo</t>
        </is>
      </c>
      <c r="D10" s="6" t="inlineStr">
        <is>
          <t>N</t>
        </is>
      </c>
      <c r="E10" s="8" t="n">
        <v>4</v>
      </c>
      <c r="F10" s="8">
        <f>IF(ISREF(INDIRECT("'"&amp;Historias[[#This Row],[Ref]]&amp;"'!A1")),SUM(INDIRECT("'"&amp;Historias[[#This Row],[Ref]]&amp;"'!F:F"))/60,"")</f>
        <v/>
      </c>
      <c r="G1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1" ht="18" customHeight="1">
      <c r="A11" s="6" t="inlineStr">
        <is>
          <t>CS-08</t>
        </is>
      </c>
      <c r="B11" s="7" t="inlineStr">
        <is>
          <t>CONFIGURAR MIS AVISOS</t>
        </is>
      </c>
      <c r="C11" s="6" t="n"/>
      <c r="D11" s="6" t="n"/>
      <c r="E11" s="8" t="n"/>
      <c r="F11" s="8">
        <f>IF(ISREF(INDIRECT("'"&amp;Historias[[#This Row],[Ref]]&amp;"'!A1")),SUM(INDIRECT("'"&amp;Historias[[#This Row],[Ref]]&amp;"'!F:F"))/60,"")</f>
        <v/>
      </c>
      <c r="G1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2" ht="18" customHeight="1">
      <c r="A12" s="6" t="inlineStr">
        <is>
          <t>CS-09</t>
        </is>
      </c>
      <c r="B12" s="7" t="inlineStr">
        <is>
          <t>NOVEDADES DE AMIGOS</t>
        </is>
      </c>
      <c r="C12" s="6" t="n"/>
      <c r="D12" s="6" t="n"/>
      <c r="E12" s="8" t="n"/>
      <c r="F12" s="8">
        <f>IF(ISREF(INDIRECT("'"&amp;Historias[[#This Row],[Ref]]&amp;"'!A1")),SUM(INDIRECT("'"&amp;Historias[[#This Row],[Ref]]&amp;"'!F:F"))/60,"")</f>
        <v/>
      </c>
      <c r="G1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3" ht="18" customHeight="1">
      <c r="A13" s="6" t="inlineStr">
        <is>
          <t>CS-10</t>
        </is>
      </c>
      <c r="B13" s="7" t="inlineStr">
        <is>
          <t>BÚSQUEDA CON FILTROS COMBINABLES</t>
        </is>
      </c>
      <c r="C13" s="6" t="inlineStr">
        <is>
          <t>Medio</t>
        </is>
      </c>
      <c r="D13" s="6" t="inlineStr">
        <is>
          <t>N</t>
        </is>
      </c>
      <c r="E13" s="8" t="n">
        <v>7</v>
      </c>
      <c r="F13" s="8">
        <f>IF(ISREF(INDIRECT("'"&amp;Historias[[#This Row],[Ref]]&amp;"'!A1")),SUM(INDIRECT("'"&amp;Historias[[#This Row],[Ref]]&amp;"'!F:F"))/60,"")</f>
        <v/>
      </c>
      <c r="G1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4" ht="18" customHeight="1">
      <c r="A14" s="6" t="inlineStr">
        <is>
          <t>CS-11</t>
        </is>
      </c>
      <c r="B14" s="7" t="inlineStr">
        <is>
          <t>ORDENACIÓN Y PAGINACIÓN ESTABLE</t>
        </is>
      </c>
      <c r="C14" s="6" t="inlineStr">
        <is>
          <t>Medio</t>
        </is>
      </c>
      <c r="D14" s="6" t="inlineStr">
        <is>
          <t>I</t>
        </is>
      </c>
      <c r="E14" s="8" t="n">
        <v>20</v>
      </c>
      <c r="F14" s="8">
        <f>IF(ISREF(INDIRECT("'"&amp;Historias[[#This Row],[Ref]]&amp;"'!A1")),SUM(INDIRECT("'"&amp;Historias[[#This Row],[Ref]]&amp;"'!F:F"))/60,"")</f>
        <v/>
      </c>
      <c r="G1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5" ht="18" customHeight="1">
      <c r="A15" s="6" t="inlineStr">
        <is>
          <t>CS-12</t>
        </is>
      </c>
      <c r="B15" s="7" t="inlineStr">
        <is>
          <t>AGREGADOS DERIVADOS PARA BÚSQUEDA</t>
        </is>
      </c>
      <c r="C15" s="6" t="n"/>
      <c r="D15" s="6" t="n"/>
      <c r="E15" s="8" t="n"/>
      <c r="F15" s="8">
        <f>IF(ISREF(INDIRECT("'"&amp;Historias[[#This Row],[Ref]]&amp;"'!A1")),SUM(INDIRECT("'"&amp;Historias[[#This Row],[Ref]]&amp;"'!F:F"))/60,"")</f>
        <v/>
      </c>
      <c r="G1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6" ht="18" customHeight="1">
      <c r="A16" s="6" t="inlineStr">
        <is>
          <t>CS-13</t>
        </is>
      </c>
      <c r="B16" s="7" t="inlineStr">
        <is>
          <t>DETECCIÓN DE VALORACIONES SOSPECHOSAS</t>
        </is>
      </c>
      <c r="C16" s="6" t="inlineStr">
        <is>
          <t>Bajo</t>
        </is>
      </c>
      <c r="D16" s="6" t="inlineStr">
        <is>
          <t>M</t>
        </is>
      </c>
      <c r="E16" s="8" t="n">
        <v>20</v>
      </c>
      <c r="F16" s="8">
        <f>IF(ISREF(INDIRECT("'"&amp;Historias[[#This Row],[Ref]]&amp;"'!A1")),SUM(INDIRECT("'"&amp;Historias[[#This Row],[Ref]]&amp;"'!F:F"))/60,"")</f>
        <v/>
      </c>
      <c r="G1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7" ht="18" customHeight="1">
      <c r="A17" s="6" t="inlineStr">
        <is>
          <t>CS-14</t>
        </is>
      </c>
      <c r="B17" s="7" t="inlineStr">
        <is>
          <t>RESUMEN DE VALORACIONES DE UNA EXPERIENCIA</t>
        </is>
      </c>
      <c r="C17" s="6" t="inlineStr">
        <is>
          <t>Muy alto</t>
        </is>
      </c>
      <c r="D17" s="6" t="inlineStr">
        <is>
          <t>I</t>
        </is>
      </c>
      <c r="E17" s="8" t="n">
        <v>20</v>
      </c>
      <c r="F17" s="8">
        <f>IF(ISREF(INDIRECT("'"&amp;Historias[[#This Row],[Ref]]&amp;"'!A1")),SUM(INDIRECT("'"&amp;Historias[[#This Row],[Ref]]&amp;"'!F:F"))/60,"")</f>
        <v/>
      </c>
      <c r="G1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8" ht="18" customHeight="1">
      <c r="A18" s="6" t="inlineStr">
        <is>
          <t>CS-15</t>
        </is>
      </c>
      <c r="B18" s="7" t="inlineStr">
        <is>
          <t>CICLO DE VIDA DEL AVISO DE DATO OBSOLETO</t>
        </is>
      </c>
      <c r="C18" s="6" t="n"/>
      <c r="D18" s="6" t="n"/>
      <c r="E18" s="8" t="n"/>
      <c r="F18" s="8">
        <f>IF(ISREF(INDIRECT("'"&amp;Historias[[#This Row],[Ref]]&amp;"'!A1")),SUM(INDIRECT("'"&amp;Historias[[#This Row],[Ref]]&amp;"'!F:F"))/60,"")</f>
        <v/>
      </c>
      <c r="G1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19" ht="18" customHeight="1">
      <c r="A19" s="6" t="inlineStr">
        <is>
          <t>CS-16</t>
        </is>
      </c>
      <c r="B19" s="7" t="inlineStr">
        <is>
          <t>OCULTACIÓN PREVENTIVA POR UMBRAL DE REPORTES</t>
        </is>
      </c>
      <c r="C19" s="6" t="n"/>
      <c r="D19" s="6" t="n"/>
      <c r="E19" s="8" t="n"/>
      <c r="F19" s="8">
        <f>IF(ISREF(INDIRECT("'"&amp;Historias[[#This Row],[Ref]]&amp;"'!A1")),SUM(INDIRECT("'"&amp;Historias[[#This Row],[Ref]]&amp;"'!F:F"))/60,"")</f>
        <v/>
      </c>
      <c r="G1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0" ht="18" customHeight="1">
      <c r="A20" s="6" t="inlineStr">
        <is>
          <t>CS-17</t>
        </is>
      </c>
      <c r="B20" s="7" t="inlineStr">
        <is>
          <t>DETECCIÓN AUTOMÁTICA DE PUBLICIDAD ENCUBIERTA</t>
        </is>
      </c>
      <c r="C20" s="6" t="inlineStr">
        <is>
          <t>Alto</t>
        </is>
      </c>
      <c r="D20" s="6" t="inlineStr">
        <is>
          <t>M</t>
        </is>
      </c>
      <c r="E20" s="8" t="n">
        <v>40</v>
      </c>
      <c r="F20" s="8">
        <f>IF(ISREF(INDIRECT("'"&amp;Historias[[#This Row],[Ref]]&amp;"'!A1")),SUM(INDIRECT("'"&amp;Historias[[#This Row],[Ref]]&amp;"'!F:F"))/60,"")</f>
        <v/>
      </c>
      <c r="G2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1" ht="18" customHeight="1">
      <c r="A21" s="6" t="inlineStr">
        <is>
          <t>CS-18</t>
        </is>
      </c>
      <c r="B21" s="7" t="inlineStr">
        <is>
          <t>SANCIONES A AUTORES REINCIDENTES</t>
        </is>
      </c>
      <c r="C21" s="6" t="n"/>
      <c r="D21" s="6" t="n"/>
      <c r="E21" s="8" t="n"/>
      <c r="F21" s="8">
        <f>IF(ISREF(INDIRECT("'"&amp;Historias[[#This Row],[Ref]]&amp;"'!A1")),SUM(INDIRECT("'"&amp;Historias[[#This Row],[Ref]]&amp;"'!F:F"))/60,"")</f>
        <v/>
      </c>
      <c r="G2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2" ht="18" customHeight="1">
      <c r="A22" s="6" t="inlineStr">
        <is>
          <t>CS-19</t>
        </is>
      </c>
      <c r="B22" s="7" t="inlineStr">
        <is>
          <t>AVISOS DE MODERACIÓN (RETIRADA Y RESOLUCIÓN)</t>
        </is>
      </c>
      <c r="C22" s="6" t="n"/>
      <c r="D22" s="6" t="n"/>
      <c r="E22" s="8" t="n"/>
      <c r="F22" s="8">
        <f>IF(ISREF(INDIRECT("'"&amp;Historias[[#This Row],[Ref]]&amp;"'!A1")),SUM(INDIRECT("'"&amp;Historias[[#This Row],[Ref]]&amp;"'!F:F"))/60,"")</f>
        <v/>
      </c>
      <c r="G2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3" ht="18" customHeight="1">
      <c r="A23" s="6" t="inlineStr">
        <is>
          <t>CS-20</t>
        </is>
      </c>
      <c r="B23" s="7" t="inlineStr">
        <is>
          <t>AGRUPACIÓN Y LÍMITE DE FRECUENCIA DE AVISOS</t>
        </is>
      </c>
      <c r="C23" s="6" t="inlineStr">
        <is>
          <t>Alto</t>
        </is>
      </c>
      <c r="D23" s="6" t="inlineStr">
        <is>
          <t>N</t>
        </is>
      </c>
      <c r="E23" s="8" t="n">
        <v>5</v>
      </c>
      <c r="F23" s="8">
        <f>IF(ISREF(INDIRECT("'"&amp;Historias[[#This Row],[Ref]]&amp;"'!A1")),SUM(INDIRECT("'"&amp;Historias[[#This Row],[Ref]]&amp;"'!F:F"))/60,"")</f>
        <v/>
      </c>
      <c r="G2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4" ht="18" customHeight="1">
      <c r="A24" s="6" t="inlineStr">
        <is>
          <t>CS-21</t>
        </is>
      </c>
      <c r="B24" s="7" t="inlineStr">
        <is>
          <t>REGISTRO DE DISPOSITIVOS Y PROVEEDOR PUSH</t>
        </is>
      </c>
      <c r="C24" s="6" t="n"/>
      <c r="D24" s="6" t="n"/>
      <c r="E24" s="8" t="n"/>
      <c r="F24" s="8">
        <f>IF(ISREF(INDIRECT("'"&amp;Historias[[#This Row],[Ref]]&amp;"'!A1")),SUM(INDIRECT("'"&amp;Historias[[#This Row],[Ref]]&amp;"'!F:F"))/60,"")</f>
        <v/>
      </c>
      <c r="G2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5" ht="18" customHeight="1">
      <c r="A25" s="6" t="inlineStr">
        <is>
          <t>CS-22</t>
        </is>
      </c>
      <c r="B25" s="7" t="inlineStr">
        <is>
          <t>VISIBILIDAD EXPERIENCIAS</t>
        </is>
      </c>
      <c r="C25" s="6" t="inlineStr">
        <is>
          <t>Alto</t>
        </is>
      </c>
      <c r="D25" s="6" t="n"/>
      <c r="E25" s="8" t="n">
        <v>7</v>
      </c>
      <c r="F25" s="8">
        <f>IF(ISREF(INDIRECT("'"&amp;Historias[[#This Row],[Ref]]&amp;"'!A1")),SUM(INDIRECT("'"&amp;Historias[[#This Row],[Ref]]&amp;"'!F:F"))/60,"")</f>
        <v/>
      </c>
      <c r="G2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6" ht="18" customHeight="1">
      <c r="A26" s="6" t="inlineStr">
        <is>
          <t>CS-23</t>
        </is>
      </c>
      <c r="B26" s="7" t="inlineStr">
        <is>
          <t>PESTAÑA DE BÚSQUEDA</t>
        </is>
      </c>
      <c r="C26" s="6" t="n"/>
      <c r="D26" s="6" t="n"/>
      <c r="E26" s="8" t="n"/>
      <c r="F26" s="8">
        <f>IF(ISREF(INDIRECT("'"&amp;Historias[[#This Row],[Ref]]&amp;"'!A1")),SUM(INDIRECT("'"&amp;Historias[[#This Row],[Ref]]&amp;"'!F:F"))/60,"")</f>
        <v/>
      </c>
      <c r="G2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7" ht="18" customHeight="1">
      <c r="A27" s="6" t="inlineStr">
        <is>
          <t>CS-24</t>
        </is>
      </c>
      <c r="B27" s="7" t="inlineStr">
        <is>
          <t>RESULTADO BÚSQUEDA</t>
        </is>
      </c>
      <c r="C27" s="6" t="inlineStr">
        <is>
          <t>Medio</t>
        </is>
      </c>
      <c r="D27" s="6" t="n"/>
      <c r="E27" s="8" t="n">
        <v>8</v>
      </c>
      <c r="F27" s="8">
        <f>IF(ISREF(INDIRECT("'"&amp;Historias[[#This Row],[Ref]]&amp;"'!A1")),SUM(INDIRECT("'"&amp;Historias[[#This Row],[Ref]]&amp;"'!F:F"))/60,"")</f>
        <v/>
      </c>
      <c r="G2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8" ht="18" customHeight="1">
      <c r="A28" s="6" t="inlineStr">
        <is>
          <t>CS-25</t>
        </is>
      </c>
      <c r="B28" s="7" t="inlineStr">
        <is>
          <t>VISTA RESUMIDA DE EXPERIENCIA</t>
        </is>
      </c>
      <c r="C28" s="6" t="inlineStr">
        <is>
          <t>Alto</t>
        </is>
      </c>
      <c r="D28" s="6" t="n"/>
      <c r="E28" s="8" t="n">
        <v>10</v>
      </c>
      <c r="F28" s="8">
        <f>IF(ISREF(INDIRECT("'"&amp;Historias[[#This Row],[Ref]]&amp;"'!A1")),SUM(INDIRECT("'"&amp;Historias[[#This Row],[Ref]]&amp;"'!F:F"))/60,"")</f>
        <v/>
      </c>
      <c r="G2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29" ht="18" customHeight="1">
      <c r="A29" s="6" t="inlineStr">
        <is>
          <t>CS-26</t>
        </is>
      </c>
      <c r="B29" s="7" t="inlineStr">
        <is>
          <t>BARRA DE BÚSQUEDA</t>
        </is>
      </c>
      <c r="C29" s="6" t="inlineStr">
        <is>
          <t>Alto</t>
        </is>
      </c>
      <c r="D29" s="6" t="inlineStr">
        <is>
          <t>I</t>
        </is>
      </c>
      <c r="E29" s="8" t="n">
        <v>20</v>
      </c>
      <c r="F29" s="8">
        <f>IF(ISREF(INDIRECT("'"&amp;Historias[[#This Row],[Ref]]&amp;"'!A1")),SUM(INDIRECT("'"&amp;Historias[[#This Row],[Ref]]&amp;"'!F:F"))/60,"")</f>
        <v/>
      </c>
      <c r="G2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0" ht="18" customHeight="1">
      <c r="A30" s="6" t="inlineStr">
        <is>
          <t>CS-27</t>
        </is>
      </c>
      <c r="B30" s="7" t="inlineStr">
        <is>
          <t>VISIBILIDAD INICIO</t>
        </is>
      </c>
      <c r="C30" s="6" t="inlineStr">
        <is>
          <t>Alto</t>
        </is>
      </c>
      <c r="D30" s="6" t="inlineStr">
        <is>
          <t>N</t>
        </is>
      </c>
      <c r="E30" s="8" t="n">
        <v>13</v>
      </c>
      <c r="F30" s="8">
        <f>IF(ISREF(INDIRECT("'"&amp;Historias[[#This Row],[Ref]]&amp;"'!A1")),SUM(INDIRECT("'"&amp;Historias[[#This Row],[Ref]]&amp;"'!F:F"))/60,"")</f>
        <v/>
      </c>
      <c r="G3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1" ht="18" customHeight="1">
      <c r="A31" s="6" t="inlineStr">
        <is>
          <t>CS-28</t>
        </is>
      </c>
      <c r="B31" s="7" t="inlineStr">
        <is>
          <t>ORDENACIÓN RESULTADOS</t>
        </is>
      </c>
      <c r="C31" s="6" t="inlineStr">
        <is>
          <t>Medio</t>
        </is>
      </c>
      <c r="D31" s="6" t="n"/>
      <c r="E31" s="8" t="n">
        <v>6</v>
      </c>
      <c r="F31" s="8">
        <f>IF(ISREF(INDIRECT("'"&amp;Historias[[#This Row],[Ref]]&amp;"'!A1")),SUM(INDIRECT("'"&amp;Historias[[#This Row],[Ref]]&amp;"'!F:F"))/60,"")</f>
        <v/>
      </c>
      <c r="G3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2" ht="18" customHeight="1">
      <c r="A32" s="6" t="inlineStr">
        <is>
          <t>CS-29</t>
        </is>
      </c>
      <c r="B32" s="7" t="inlineStr">
        <is>
          <t>RECUPERACIÓN DE BORRADORES</t>
        </is>
      </c>
      <c r="C32" s="6" t="n"/>
      <c r="D32" s="6" t="inlineStr">
        <is>
          <t>M</t>
        </is>
      </c>
      <c r="E32" s="8" t="n"/>
      <c r="F32" s="8">
        <f>IF(ISREF(INDIRECT("'"&amp;Historias[[#This Row],[Ref]]&amp;"'!A1")),SUM(INDIRECT("'"&amp;Historias[[#This Row],[Ref]]&amp;"'!F:F"))/60,"")</f>
        <v/>
      </c>
      <c r="G3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3" ht="18" customHeight="1">
      <c r="A33" s="6" t="inlineStr">
        <is>
          <t>CS-30</t>
        </is>
      </c>
      <c r="B33" s="7" t="inlineStr">
        <is>
          <t>CONTROL DE ACCESO</t>
        </is>
      </c>
      <c r="C33" s="6" t="inlineStr">
        <is>
          <t>Bajo</t>
        </is>
      </c>
      <c r="D33" s="6" t="inlineStr">
        <is>
          <t>I</t>
        </is>
      </c>
      <c r="E33" s="8" t="n">
        <v>7</v>
      </c>
      <c r="F33" s="8">
        <f>IF(ISREF(INDIRECT("'"&amp;Historias[[#This Row],[Ref]]&amp;"'!A1")),SUM(INDIRECT("'"&amp;Historias[[#This Row],[Ref]]&amp;"'!F:F"))/60,"")</f>
        <v/>
      </c>
      <c r="G3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4" ht="18" customHeight="1">
      <c r="A34" s="6" t="inlineStr">
        <is>
          <t>CS-31</t>
        </is>
      </c>
      <c r="B34" s="7" t="inlineStr">
        <is>
          <t>FILTRO “EXPERIENCIAS DE AMIGOS”</t>
        </is>
      </c>
      <c r="C34" s="6" t="n"/>
      <c r="D34" s="6" t="n"/>
      <c r="E34" s="8" t="n"/>
      <c r="F34" s="8">
        <f>IF(ISREF(INDIRECT("'"&amp;Historias[[#This Row],[Ref]]&amp;"'!A1")),SUM(INDIRECT("'"&amp;Historias[[#This Row],[Ref]]&amp;"'!F:F"))/60,"")</f>
        <v/>
      </c>
      <c r="G3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5" ht="18" customHeight="1">
      <c r="A35" s="6" t="inlineStr">
        <is>
          <t>CS-32</t>
        </is>
      </c>
      <c r="B35" s="7" t="inlineStr">
        <is>
          <t>VISTA DETALLADA DE EXPERIENCIA</t>
        </is>
      </c>
      <c r="C35" s="6" t="inlineStr">
        <is>
          <t>Medio</t>
        </is>
      </c>
      <c r="D35" s="6" t="inlineStr">
        <is>
          <t>N</t>
        </is>
      </c>
      <c r="E35" s="8" t="n">
        <v>8</v>
      </c>
      <c r="F35" s="8">
        <f>IF(ISREF(INDIRECT("'"&amp;Historias[[#This Row],[Ref]]&amp;"'!A1")),SUM(INDIRECT("'"&amp;Historias[[#This Row],[Ref]]&amp;"'!F:F"))/60,"")</f>
        <v/>
      </c>
      <c r="G3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6" ht="18" customHeight="1">
      <c r="A36" s="6" t="inlineStr">
        <is>
          <t>CS-33</t>
        </is>
      </c>
      <c r="B36" s="7" t="inlineStr">
        <is>
          <t>LIMPIAR BÚSQUEDA</t>
        </is>
      </c>
      <c r="C36" s="6" t="inlineStr">
        <is>
          <t>Bajo</t>
        </is>
      </c>
      <c r="D36" s="6" t="inlineStr">
        <is>
          <t>I</t>
        </is>
      </c>
      <c r="E36" s="8" t="n">
        <v>4</v>
      </c>
      <c r="F36" s="8">
        <f>IF(ISREF(INDIRECT("'"&amp;Historias[[#This Row],[Ref]]&amp;"'!A1")),SUM(INDIRECT("'"&amp;Historias[[#This Row],[Ref]]&amp;"'!F:F"))/60,"")</f>
        <v/>
      </c>
      <c r="G3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7" ht="18" customHeight="1">
      <c r="A37" s="6" t="inlineStr">
        <is>
          <t>CS-34</t>
        </is>
      </c>
      <c r="B37" s="7" t="inlineStr">
        <is>
          <t>ESTADOS DE “CARGA”, “SIN RESULTADOS” Y “ERROR”</t>
        </is>
      </c>
      <c r="C37" s="6" t="n"/>
      <c r="D37" s="6" t="n"/>
      <c r="E37" s="8" t="n"/>
      <c r="F37" s="8">
        <f>IF(ISREF(INDIRECT("'"&amp;Historias[[#This Row],[Ref]]&amp;"'!A1")),SUM(INDIRECT("'"&amp;Historias[[#This Row],[Ref]]&amp;"'!F:F"))/60,"")</f>
        <v/>
      </c>
      <c r="G3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8" ht="18" customHeight="1">
      <c r="A38" s="6" t="inlineStr">
        <is>
          <t>CS-35</t>
        </is>
      </c>
      <c r="B38" s="7" t="inlineStr">
        <is>
          <t>CARGA DE RESULTADOS</t>
        </is>
      </c>
      <c r="C38" s="6" t="inlineStr">
        <is>
          <t>Alto</t>
        </is>
      </c>
      <c r="D38" s="6" t="inlineStr">
        <is>
          <t>I</t>
        </is>
      </c>
      <c r="E38" s="8" t="n">
        <v>8</v>
      </c>
      <c r="F38" s="8">
        <f>IF(ISREF(INDIRECT("'"&amp;Historias[[#This Row],[Ref]]&amp;"'!A1")),SUM(INDIRECT("'"&amp;Historias[[#This Row],[Ref]]&amp;"'!F:F"))/60,"")</f>
        <v/>
      </c>
      <c r="G3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39" ht="18" customHeight="1">
      <c r="A39" s="6" t="inlineStr">
        <is>
          <t>CS-36</t>
        </is>
      </c>
      <c r="B39" s="7" t="inlineStr">
        <is>
          <t>ORDENACIÓN POR CERCANÍA</t>
        </is>
      </c>
      <c r="C39" s="6" t="inlineStr">
        <is>
          <t>Bajo</t>
        </is>
      </c>
      <c r="D39" s="6" t="inlineStr">
        <is>
          <t>N</t>
        </is>
      </c>
      <c r="E39" s="8" t="n">
        <v>6</v>
      </c>
      <c r="F39" s="8">
        <f>IF(ISREF(INDIRECT("'"&amp;Historias[[#This Row],[Ref]]&amp;"'!A1")),SUM(INDIRECT("'"&amp;Historias[[#This Row],[Ref]]&amp;"'!F:F"))/60,"")</f>
        <v/>
      </c>
      <c r="G3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0" ht="18" customHeight="1">
      <c r="A40" s="6" t="inlineStr">
        <is>
          <t>CS-37</t>
        </is>
      </c>
      <c r="B40" s="7" t="inlineStr">
        <is>
          <t>Compartir una experiencia mediante un enlace</t>
        </is>
      </c>
      <c r="C40" s="6" t="n"/>
      <c r="D40" s="6" t="n"/>
      <c r="E40" s="8" t="n"/>
      <c r="F40" s="8">
        <f>IF(ISREF(INDIRECT("'"&amp;Historias[[#This Row],[Ref]]&amp;"'!A1")),SUM(INDIRECT("'"&amp;Historias[[#This Row],[Ref]]&amp;"'!F:F"))/60,"")</f>
        <v/>
      </c>
      <c r="G4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1" ht="18" customHeight="1">
      <c r="A41" s="6" t="inlineStr">
        <is>
          <t>CS-38</t>
        </is>
      </c>
      <c r="B41" s="7" t="inlineStr">
        <is>
          <t>Compartir mediante otras aplicaciones</t>
        </is>
      </c>
      <c r="C41" s="6" t="n"/>
      <c r="D41" s="6" t="n"/>
      <c r="E41" s="8" t="n"/>
      <c r="F41" s="8">
        <f>IF(ISREF(INDIRECT("'"&amp;Historias[[#This Row],[Ref]]&amp;"'!A1")),SUM(INDIRECT("'"&amp;Historias[[#This Row],[Ref]]&amp;"'!F:F"))/60,"")</f>
        <v/>
      </c>
      <c r="G4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2" ht="18" customHeight="1">
      <c r="A42" s="6" t="inlineStr">
        <is>
          <t>CS-39</t>
        </is>
      </c>
      <c r="B42" s="7" t="inlineStr">
        <is>
          <t>Recomendaciones según la ciudad</t>
        </is>
      </c>
      <c r="C42" s="6" t="n"/>
      <c r="D42" s="6" t="n"/>
      <c r="E42" s="8" t="n"/>
      <c r="F42" s="8">
        <f>IF(ISREF(INDIRECT("'"&amp;Historias[[#This Row],[Ref]]&amp;"'!A1")),SUM(INDIRECT("'"&amp;Historias[[#This Row],[Ref]]&amp;"'!F:F"))/60,"")</f>
        <v/>
      </c>
      <c r="G4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3" ht="18" customHeight="1">
      <c r="A43" s="6" t="inlineStr">
        <is>
          <t>CS-40</t>
        </is>
      </c>
      <c r="B43" s="7" t="inlineStr">
        <is>
          <t>Recomendaciones según mis gustos</t>
        </is>
      </c>
      <c r="C43" s="6" t="inlineStr">
        <is>
          <t>Medio</t>
        </is>
      </c>
      <c r="D43" s="6" t="n"/>
      <c r="E43" s="8" t="n">
        <v>5</v>
      </c>
      <c r="F43" s="8">
        <f>IF(ISREF(INDIRECT("'"&amp;Historias[[#This Row],[Ref]]&amp;"'!A1")),SUM(INDIRECT("'"&amp;Historias[[#This Row],[Ref]]&amp;"'!F:F"))/60,"")</f>
        <v/>
      </c>
      <c r="G4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4" ht="18" customHeight="1">
      <c r="A44" s="6" t="inlineStr">
        <is>
          <t>CS-41</t>
        </is>
      </c>
      <c r="B44" s="7" t="inlineStr">
        <is>
          <t>Experiencias similares a las guardadas</t>
        </is>
      </c>
      <c r="C44" s="6" t="n"/>
      <c r="D44" s="6" t="n"/>
      <c r="E44" s="8" t="n"/>
      <c r="F44" s="8">
        <f>IF(ISREF(INDIRECT("'"&amp;Historias[[#This Row],[Ref]]&amp;"'!A1")),SUM(INDIRECT("'"&amp;Historias[[#This Row],[Ref]]&amp;"'!F:F"))/60,"")</f>
        <v/>
      </c>
      <c r="G4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5" ht="18" customHeight="1">
      <c r="A45" s="6" t="inlineStr">
        <is>
          <t>CS-42</t>
        </is>
      </c>
      <c r="B45" s="7" t="inlineStr">
        <is>
          <t>Recomendaciones según mis valoraciones</t>
        </is>
      </c>
      <c r="C45" s="6" t="inlineStr">
        <is>
          <t>Alto</t>
        </is>
      </c>
      <c r="D45" s="6" t="n"/>
      <c r="E45" s="8" t="n">
        <v>10</v>
      </c>
      <c r="F45" s="8">
        <f>IF(ISREF(INDIRECT("'"&amp;Historias[[#This Row],[Ref]]&amp;"'!A1")),SUM(INDIRECT("'"&amp;Historias[[#This Row],[Ref]]&amp;"'!F:F"))/60,"")</f>
        <v/>
      </c>
      <c r="G4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6" ht="18" customHeight="1">
      <c r="A46" s="6" t="inlineStr">
        <is>
          <t>CS-43</t>
        </is>
      </c>
      <c r="B46" s="7" t="inlineStr">
        <is>
          <t>MIS GUARDADOS</t>
        </is>
      </c>
      <c r="C46" s="6" t="n"/>
      <c r="D46" s="6" t="n"/>
      <c r="E46" s="8" t="n"/>
      <c r="F46" s="8">
        <f>IF(ISREF(INDIRECT("'"&amp;Historias[[#This Row],[Ref]]&amp;"'!A1")),SUM(INDIRECT("'"&amp;Historias[[#This Row],[Ref]]&amp;"'!F:F"))/60,"")</f>
        <v/>
      </c>
      <c r="G4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7" ht="18" customHeight="1">
      <c r="A47" s="6" t="inlineStr">
        <is>
          <t>CS-44</t>
        </is>
      </c>
      <c r="B47" s="7" t="inlineStr">
        <is>
          <t>MIS EXPERIENCIAS PUBLICADAS EN EL PERFIL</t>
        </is>
      </c>
      <c r="C47" s="6" t="n"/>
      <c r="D47" s="6" t="inlineStr">
        <is>
          <t>M</t>
        </is>
      </c>
      <c r="E47" s="8" t="n"/>
      <c r="F47" s="8">
        <f>IF(ISREF(INDIRECT("'"&amp;Historias[[#This Row],[Ref]]&amp;"'!A1")),SUM(INDIRECT("'"&amp;Historias[[#This Row],[Ref]]&amp;"'!F:F"))/60,"")</f>
        <v/>
      </c>
      <c r="G4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8" ht="18" customHeight="1">
      <c r="A48" s="6" t="inlineStr">
        <is>
          <t>CS-45</t>
        </is>
      </c>
      <c r="B48" s="7" t="inlineStr">
        <is>
          <t>MI NÚMERO DE AMIGOS Y SEGUIDORES</t>
        </is>
      </c>
      <c r="C48" s="6" t="n"/>
      <c r="D48" s="6" t="n"/>
      <c r="E48" s="8" t="n"/>
      <c r="F48" s="8">
        <f>IF(ISREF(INDIRECT("'"&amp;Historias[[#This Row],[Ref]]&amp;"'!A1")),SUM(INDIRECT("'"&amp;Historias[[#This Row],[Ref]]&amp;"'!F:F"))/60,"")</f>
        <v/>
      </c>
      <c r="G4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49" ht="18" customHeight="1">
      <c r="A49" s="6" t="inlineStr">
        <is>
          <t>CS-46</t>
        </is>
      </c>
      <c r="B49" s="7" t="inlineStr">
        <is>
          <t>MIS CIUDADES</t>
        </is>
      </c>
      <c r="C49" s="6" t="n"/>
      <c r="D49" s="6" t="n"/>
      <c r="E49" s="8" t="n"/>
      <c r="F49" s="8">
        <f>IF(ISREF(INDIRECT("'"&amp;Historias[[#This Row],[Ref]]&amp;"'!A1")),SUM(INDIRECT("'"&amp;Historias[[#This Row],[Ref]]&amp;"'!F:F"))/60,"")</f>
        <v/>
      </c>
      <c r="G4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0" ht="18" customHeight="1">
      <c r="A50" s="6" t="inlineStr">
        <is>
          <t>CS-47</t>
        </is>
      </c>
      <c r="B50" s="7" t="inlineStr">
        <is>
          <t>CREAR MI PERFIL</t>
        </is>
      </c>
      <c r="C50" s="6" t="inlineStr">
        <is>
          <t>Bajo</t>
        </is>
      </c>
      <c r="D50" s="6" t="inlineStr">
        <is>
          <t>I</t>
        </is>
      </c>
      <c r="E50" s="8" t="n">
        <v>4</v>
      </c>
      <c r="F50" s="8">
        <f>IF(ISREF(INDIRECT("'"&amp;Historias[[#This Row],[Ref]]&amp;"'!A1")),SUM(INDIRECT("'"&amp;Historias[[#This Row],[Ref]]&amp;"'!F:F"))/60,"")</f>
        <v/>
      </c>
      <c r="G5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1" ht="18" customHeight="1">
      <c r="A51" s="6" t="inlineStr">
        <is>
          <t>CS-48</t>
        </is>
      </c>
      <c r="B51" s="7" t="inlineStr">
        <is>
          <t>VALORACIONES DE MIS AMIGOS Y SEGUIDORES</t>
        </is>
      </c>
      <c r="C51" s="6" t="n"/>
      <c r="D51" s="6" t="n"/>
      <c r="E51" s="8" t="n"/>
      <c r="F51" s="8">
        <f>IF(ISREF(INDIRECT("'"&amp;Historias[[#This Row],[Ref]]&amp;"'!A1")),SUM(INDIRECT("'"&amp;Historias[[#This Row],[Ref]]&amp;"'!F:F"))/60,"")</f>
        <v/>
      </c>
      <c r="G5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2" ht="18" customHeight="1">
      <c r="A52" s="6" t="inlineStr">
        <is>
          <t>CS-49</t>
        </is>
      </c>
      <c r="B52" s="7" t="inlineStr">
        <is>
          <t>CREACIÓN DE EXPERIENCIAS</t>
        </is>
      </c>
      <c r="C52" s="6" t="inlineStr">
        <is>
          <t>Medio bajo</t>
        </is>
      </c>
      <c r="D52" s="6" t="inlineStr">
        <is>
          <t>I</t>
        </is>
      </c>
      <c r="E52" s="8" t="n">
        <v>4</v>
      </c>
      <c r="F52" s="8">
        <f>IF(ISREF(INDIRECT("'"&amp;Historias[[#This Row],[Ref]]&amp;"'!A1")),SUM(INDIRECT("'"&amp;Historias[[#This Row],[Ref]]&amp;"'!F:F"))/60,"")</f>
        <v/>
      </c>
      <c r="G5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3" ht="18" customHeight="1">
      <c r="A53" s="6" t="inlineStr">
        <is>
          <t>CS-50</t>
        </is>
      </c>
      <c r="B53" s="7" t="inlineStr">
        <is>
          <t>LUGARES DE LA EXPERIENCIA</t>
        </is>
      </c>
      <c r="C53" s="6" t="inlineStr">
        <is>
          <t>Medio</t>
        </is>
      </c>
      <c r="D53" s="6" t="n"/>
      <c r="E53" s="8" t="n">
        <v>6</v>
      </c>
      <c r="F53" s="8">
        <f>IF(ISREF(INDIRECT("'"&amp;Historias[[#This Row],[Ref]]&amp;"'!A1")),SUM(INDIRECT("'"&amp;Historias[[#This Row],[Ref]]&amp;"'!F:F"))/60,"")</f>
        <v/>
      </c>
      <c r="G5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4" ht="18" customHeight="1">
      <c r="A54" s="6" t="inlineStr">
        <is>
          <t>CS-51</t>
        </is>
      </c>
      <c r="B54" s="7" t="inlineStr">
        <is>
          <t>ITINERARIO DE EXPERIENCIAS</t>
        </is>
      </c>
      <c r="C54" s="6" t="n"/>
      <c r="D54" s="6" t="n"/>
      <c r="E54" s="8" t="n"/>
      <c r="F54" s="8">
        <f>IF(ISREF(INDIRECT("'"&amp;Historias[[#This Row],[Ref]]&amp;"'!A1")),SUM(INDIRECT("'"&amp;Historias[[#This Row],[Ref]]&amp;"'!F:F"))/60,"")</f>
        <v/>
      </c>
      <c r="G54"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5" ht="18" customHeight="1">
      <c r="A55" s="6" t="inlineStr">
        <is>
          <t>CS-52</t>
        </is>
      </c>
      <c r="B55" s="7" t="inlineStr">
        <is>
          <t>FOTOS Y COMENTARIOS DE LUGARES</t>
        </is>
      </c>
      <c r="C55" s="6" t="n"/>
      <c r="D55" s="6" t="inlineStr">
        <is>
          <t>M</t>
        </is>
      </c>
      <c r="E55" s="8" t="n"/>
      <c r="F55" s="8">
        <f>IF(ISREF(INDIRECT("'"&amp;Historias[[#This Row],[Ref]]&amp;"'!A1")),SUM(INDIRECT("'"&amp;Historias[[#This Row],[Ref]]&amp;"'!F:F"))/60,"")</f>
        <v/>
      </c>
      <c r="G55"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6" ht="18" customHeight="1">
      <c r="A56" s="6" t="inlineStr">
        <is>
          <t>CS-53</t>
        </is>
      </c>
      <c r="B56" s="7" t="inlineStr">
        <is>
          <t>DURACIÓN Y TARIFA DE LA EXPERIENCIA</t>
        </is>
      </c>
      <c r="C56" s="6" t="n"/>
      <c r="D56" s="6" t="n"/>
      <c r="E56" s="8" t="n"/>
      <c r="F56" s="8">
        <f>IF(ISREF(INDIRECT("'"&amp;Historias[[#This Row],[Ref]]&amp;"'!A1")),SUM(INDIRECT("'"&amp;Historias[[#This Row],[Ref]]&amp;"'!F:F"))/60,"")</f>
        <v/>
      </c>
      <c r="G56"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7" ht="18" customHeight="1">
      <c r="A57" s="6" t="inlineStr">
        <is>
          <t>CS-54</t>
        </is>
      </c>
      <c r="B57" s="7" t="inlineStr">
        <is>
          <t>EVENTOS DE UN LUGAR</t>
        </is>
      </c>
      <c r="C57" s="6" t="inlineStr">
        <is>
          <t>Alto</t>
        </is>
      </c>
      <c r="D57" s="6" t="n"/>
      <c r="E57" s="8" t="n">
        <v>5</v>
      </c>
      <c r="F57" s="8">
        <f>IF(ISREF(INDIRECT("'"&amp;Historias[[#This Row],[Ref]]&amp;"'!A1")),SUM(INDIRECT("'"&amp;Historias[[#This Row],[Ref]]&amp;"'!F:F"))/60,"")</f>
        <v/>
      </c>
      <c r="G57"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8" ht="18" customHeight="1">
      <c r="A58" s="6" t="inlineStr">
        <is>
          <t>CS-55</t>
        </is>
      </c>
      <c r="B58" s="7" t="inlineStr">
        <is>
          <t>CATEGORÍA DE LA EXPERIENCIA</t>
        </is>
      </c>
      <c r="C58" s="6" t="inlineStr">
        <is>
          <t>Bajo</t>
        </is>
      </c>
      <c r="D58" s="6" t="inlineStr">
        <is>
          <t>I</t>
        </is>
      </c>
      <c r="E58" s="8" t="n">
        <v>3</v>
      </c>
      <c r="F58" s="8">
        <f>IF(ISREF(INDIRECT("'"&amp;Historias[[#This Row],[Ref]]&amp;"'!A1")),SUM(INDIRECT("'"&amp;Historias[[#This Row],[Ref]]&amp;"'!F:F"))/60,"")</f>
        <v/>
      </c>
      <c r="G58"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59" ht="18" customHeight="1">
      <c r="A59" s="6" t="inlineStr">
        <is>
          <t>CS-56</t>
        </is>
      </c>
      <c r="B59" s="7" t="inlineStr">
        <is>
          <t>MOMENTO RECOMENDADO DE LA EXPERIENCIA</t>
        </is>
      </c>
      <c r="C59" s="6" t="inlineStr">
        <is>
          <t>Alto</t>
        </is>
      </c>
      <c r="D59" s="6" t="n"/>
      <c r="E59" s="8" t="n">
        <v>6</v>
      </c>
      <c r="F59" s="8">
        <f>IF(ISREF(INDIRECT("'"&amp;Historias[[#This Row],[Ref]]&amp;"'!A1")),SUM(INDIRECT("'"&amp;Historias[[#This Row],[Ref]]&amp;"'!F:F"))/60,"")</f>
        <v/>
      </c>
      <c r="G59"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60" ht="18" customHeight="1">
      <c r="A60" s="6" t="inlineStr">
        <is>
          <t>CS-57</t>
        </is>
      </c>
      <c r="B60" s="7" t="inlineStr">
        <is>
          <t>EDICIÓN DE EXPERIENCIA</t>
        </is>
      </c>
      <c r="C60" s="6" t="inlineStr">
        <is>
          <t>Bajo</t>
        </is>
      </c>
      <c r="D60" s="6" t="inlineStr">
        <is>
          <t>I</t>
        </is>
      </c>
      <c r="E60" s="8" t="n">
        <v>3</v>
      </c>
      <c r="F60" s="8">
        <f>IF(ISREF(INDIRECT("'"&amp;Historias[[#This Row],[Ref]]&amp;"'!A1")),SUM(INDIRECT("'"&amp;Historias[[#This Row],[Ref]]&amp;"'!F:F"))/60,"")</f>
        <v/>
      </c>
      <c r="G60"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61" ht="18" customHeight="1">
      <c r="A61" s="6" t="inlineStr">
        <is>
          <t>CS-58</t>
        </is>
      </c>
      <c r="B61" s="7" t="inlineStr">
        <is>
          <t>TRANSPORTE PÚBLICO DE LA EXPERIENCIA</t>
        </is>
      </c>
      <c r="C61" s="6" t="n"/>
      <c r="D61" s="6" t="inlineStr">
        <is>
          <t>M</t>
        </is>
      </c>
      <c r="E61" s="8" t="n"/>
      <c r="F61" s="8">
        <f>IF(ISREF(INDIRECT("'"&amp;Historias[[#This Row],[Ref]]&amp;"'!A1")),SUM(INDIRECT("'"&amp;Historias[[#This Row],[Ref]]&amp;"'!F:F"))/60,"")</f>
        <v/>
      </c>
      <c r="G61"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62" ht="18" customHeight="1">
      <c r="A62" s="6" t="inlineStr">
        <is>
          <t>CS-59</t>
        </is>
      </c>
      <c r="B62" s="7" t="inlineStr">
        <is>
          <t>CREAR UNA CUENTA</t>
        </is>
      </c>
      <c r="C62" s="6" t="inlineStr">
        <is>
          <t>Bajo</t>
        </is>
      </c>
      <c r="D62" s="6" t="inlineStr">
        <is>
          <t>I</t>
        </is>
      </c>
      <c r="E62" s="8" t="n">
        <v>4</v>
      </c>
      <c r="F62" s="8">
        <f>IF(ISREF(INDIRECT("'"&amp;Historias[[#This Row],[Ref]]&amp;"'!A1")),SUM(INDIRECT("'"&amp;Historias[[#This Row],[Ref]]&amp;"'!F:F"))/60,"")</f>
        <v/>
      </c>
      <c r="G62"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row r="63" ht="18" customHeight="1">
      <c r="A63" s="6" t="inlineStr">
        <is>
          <t>CS-60</t>
        </is>
      </c>
      <c r="B63" s="7" t="inlineStr">
        <is>
          <t>METODOLOGÍA</t>
        </is>
      </c>
      <c r="C63" s="6" t="inlineStr">
        <is>
          <t>Bajo</t>
        </is>
      </c>
      <c r="D63" s="6" t="inlineStr">
        <is>
          <t>I</t>
        </is>
      </c>
      <c r="E63" s="8" t="n">
        <v>1</v>
      </c>
      <c r="F63" s="8">
        <f>IF(ISREF(INDIRECT("'"&amp;Historias[[#This Row],[Ref]]&amp;"'!A1")),SUM(INDIRECT("'"&amp;Historias[[#This Row],[Ref]]&amp;"'!F:F"))/60,"")</f>
        <v/>
      </c>
      <c r="G63" s="6">
        <f>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
      </c>
    </row>
  </sheetData>
  <mergeCells count="1">
    <mergeCell ref="A2:G2"/>
  </mergeCells>
  <conditionalFormatting sqref="C4:C500">
    <cfRule type="expression" priority="1" dxfId="0">
      <formula>$C4="Bajo"</formula>
    </cfRule>
    <cfRule type="expression" priority="2" dxfId="1">
      <formula>$C4="Medio bajo"</formula>
    </cfRule>
    <cfRule type="expression" priority="3" dxfId="2">
      <formula>$C4="Medio"</formula>
    </cfRule>
    <cfRule type="expression" priority="4" dxfId="3">
      <formula>$C4="Alto"</formula>
    </cfRule>
    <cfRule type="expression" priority="5" dxfId="4">
      <formula>$C4="Muy alto"</formula>
    </cfRule>
  </conditionalFormatting>
  <conditionalFormatting sqref="D4:D500">
    <cfRule type="expression" priority="6" dxfId="5">
      <formula>$D4="I"</formula>
    </cfRule>
    <cfRule type="expression" priority="7" dxfId="2">
      <formula>$D4="N"</formula>
    </cfRule>
    <cfRule type="expression" priority="8" dxfId="0">
      <formula>$D4="M"</formula>
    </cfRule>
  </conditionalFormatting>
  <conditionalFormatting sqref="G4:G500">
    <cfRule type="expression" priority="9" dxfId="6">
      <formula>$G4="En progreso"</formula>
    </cfRule>
    <cfRule type="expression" priority="10" dxfId="7">
      <formula>$G4="En espera"</formula>
    </cfRule>
    <cfRule type="expression" priority="11" dxfId="0">
      <formula>$G4="Finalizada"</formula>
    </cfRule>
    <cfRule type="expression" priority="12" dxfId="5">
      <formula>$G4="Sin página"</formula>
    </cfRule>
  </conditionalFormatting>
  <conditionalFormatting sqref="A4:G500">
    <cfRule type="expression" priority="13" dxfId="8">
      <formula>$G4="En progreso"</formula>
    </cfRule>
    <cfRule type="expression" priority="14" dxfId="9">
      <formula>$G4="Finalizada"</formula>
    </cfRule>
  </conditionalFormatting>
  <dataValidations count="3">
    <dataValidation sqref="C4:C500" showDropDown="0" showInputMessage="0" showErrorMessage="1" allowBlank="1" errorTitle="Riesgo" error="Elige un valor de la lista." type="list">
      <formula1>"Bajo,Medio bajo,Medio,Alto,Muy alto"</formula1>
    </dataValidation>
    <dataValidation sqref="D4:D500" showDropDown="0" showInputMessage="1" showErrorMessage="1" allowBlank="1" errorTitle="Prioridad" error="Elige I, N o M." promptTitle="Prioridad" prompt="I = la más importante · N = media · M = poco importante" type="list">
      <formula1>"I,N,M"</formula1>
    </dataValidation>
    <dataValidation sqref="E4:E500" showDropDown="0" showInputMessage="0" showErrorMessage="1" allowBlank="1" errorTitle="Tiempo estimado" error="Escribe las horas con un número, por ejemplo 4 o 0,5." type="decimal" operator="greaterThanOrEqual">
      <formula1>0</formula1>
    </dataValidation>
  </dataValidations>
  <hyperlinks>
    <hyperlink ref="B4" location="'CS-01'!A1" tooltip="Abrir CS-01"/>
    <hyperlink ref="B5" location="'CS-02'!A1" tooltip="Abrir CS-02"/>
    <hyperlink ref="B6" location="'CS-03'!A1" tooltip="Abrir CS-03"/>
    <hyperlink ref="B7" location="'CS-04'!A1" tooltip="Abrir CS-04"/>
    <hyperlink ref="B8" location="'CS-05'!A1" tooltip="Abrir CS-05"/>
    <hyperlink ref="B9" location="'CS-06'!A1" tooltip="Abrir CS-06"/>
    <hyperlink ref="B10" location="'CS-07'!A1" tooltip="Abrir CS-07"/>
    <hyperlink ref="B11" location="'CS-08'!A1" tooltip="Abrir CS-08"/>
    <hyperlink ref="B12" location="'CS-09'!A1" tooltip="Abrir CS-09"/>
    <hyperlink ref="B13" location="'CS-10'!A1" tooltip="Abrir CS-10"/>
    <hyperlink ref="B14" location="'CS-11'!A1" tooltip="Abrir CS-11"/>
    <hyperlink ref="B15" location="'CS-12'!A1" tooltip="Abrir CS-12"/>
    <hyperlink ref="B16" location="'CS-13'!A1" tooltip="Abrir CS-13"/>
    <hyperlink ref="B17" location="'CS-14'!A1" tooltip="Abrir CS-14"/>
    <hyperlink ref="B18" location="'CS-15'!A1" tooltip="Abrir CS-15"/>
    <hyperlink ref="B19" location="'CS-16'!A1" tooltip="Abrir CS-16"/>
    <hyperlink ref="B20" location="'CS-17'!A1" tooltip="Abrir CS-17"/>
    <hyperlink ref="B21" location="'CS-18'!A1" tooltip="Abrir CS-18"/>
    <hyperlink ref="B22" location="'CS-19'!A1" tooltip="Abrir CS-19"/>
    <hyperlink ref="B23" location="'CS-20'!A1" tooltip="Abrir CS-20"/>
    <hyperlink ref="B24" location="'CS-21'!A1" tooltip="Abrir CS-21"/>
    <hyperlink ref="B25" location="'CS-22'!A1" tooltip="Abrir CS-22"/>
    <hyperlink ref="B26" location="'CS-23'!A1" tooltip="Abrir CS-23"/>
    <hyperlink ref="B27" location="'CS-24'!A1" tooltip="Abrir CS-24"/>
    <hyperlink ref="B28" location="'CS-25'!A1" tooltip="Abrir CS-25"/>
    <hyperlink ref="B29" location="'CS-26'!A1" tooltip="Abrir CS-26"/>
    <hyperlink ref="B30" location="'CS-27'!A1" tooltip="Abrir CS-27"/>
    <hyperlink ref="B31" location="'CS-28'!A1" tooltip="Abrir CS-28"/>
    <hyperlink ref="B32" location="'CS-29'!A1" tooltip="Abrir CS-29"/>
    <hyperlink ref="B33" location="'CS-30'!A1" tooltip="Abrir CS-30"/>
    <hyperlink ref="B34" location="'CS-31'!A1" tooltip="Abrir CS-31"/>
    <hyperlink ref="B35" location="'CS-32'!A1" tooltip="Abrir CS-32"/>
    <hyperlink ref="B36" location="'CS-33'!A1" tooltip="Abrir CS-33"/>
    <hyperlink ref="B37" location="'CS-34'!A1" tooltip="Abrir CS-34"/>
    <hyperlink ref="B38" location="'CS-35'!A1" tooltip="Abrir CS-35"/>
    <hyperlink ref="B39" location="'CS-36'!A1" tooltip="Abrir CS-36"/>
    <hyperlink ref="B40" location="'CS-37'!A1" tooltip="Abrir CS-37"/>
    <hyperlink ref="B41" location="'CS-38'!A1" tooltip="Abrir CS-38"/>
    <hyperlink ref="B42" location="'CS-39'!A1" tooltip="Abrir CS-39"/>
    <hyperlink ref="B43" location="'CS-40'!A1" tooltip="Abrir CS-40"/>
    <hyperlink ref="B44" location="'CS-41'!A1" tooltip="Abrir CS-41"/>
    <hyperlink ref="B45" location="'CS-42'!A1" tooltip="Abrir CS-42"/>
    <hyperlink ref="B46" location="'CS-43'!A1" tooltip="Abrir CS-43"/>
    <hyperlink ref="B47" location="'CS-44'!A1" tooltip="Abrir CS-44"/>
    <hyperlink ref="B48" location="'CS-45'!A1" tooltip="Abrir CS-45"/>
    <hyperlink ref="B49" location="'CS-46'!A1" tooltip="Abrir CS-46"/>
    <hyperlink ref="B50" location="'CS-47'!A1" tooltip="Abrir CS-47"/>
    <hyperlink ref="B51" location="'CS-48'!A1" tooltip="Abrir CS-48"/>
    <hyperlink ref="B52" location="'CS-49'!A1" tooltip="Abrir CS-49"/>
    <hyperlink ref="B53" location="'CS-50'!A1" tooltip="Abrir CS-50"/>
    <hyperlink ref="B54" location="'CS-51'!A1" tooltip="Abrir CS-51"/>
    <hyperlink ref="B55" location="'CS-52'!A1" tooltip="Abrir CS-52"/>
    <hyperlink ref="B56" location="'CS-53'!A1" tooltip="Abrir CS-53"/>
    <hyperlink ref="B57" location="'CS-54'!A1" tooltip="Abrir CS-54"/>
    <hyperlink ref="B58" location="'CS-55'!A1" tooltip="Abrir CS-55"/>
    <hyperlink ref="B59" location="'CS-56'!A1" tooltip="Abrir CS-56"/>
    <hyperlink ref="B60" location="'CS-57'!A1" tooltip="Abrir CS-57"/>
    <hyperlink ref="B61" location="'CS-58'!A1" tooltip="Abrir CS-58"/>
    <hyperlink ref="B62" location="'CS-59'!A1" tooltip="Abrir CS-59"/>
    <hyperlink ref="B63" location="'CS-60'!A1" tooltip="Abrir CS-60"/>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Sec. 6.4, 8</t>
        </is>
      </c>
      <c r="C11" s="13" t="n"/>
      <c r="D11" s="13" t="n"/>
      <c r="E11" s="13" t="n"/>
      <c r="F11" s="13" t="n"/>
    </row>
    <row r="12" ht="63" customHeight="1">
      <c r="A12" s="11" t="inlineStr">
        <is>
          <t>Task Description</t>
        </is>
      </c>
      <c r="B12" s="16" t="inlineStr">
        <is>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is>
      </c>
      <c r="C12" s="13" t="n"/>
      <c r="D12" s="13" t="n"/>
      <c r="E12" s="13" t="n"/>
      <c r="F12" s="13" t="n"/>
    </row>
    <row r="13" ht="93" customHeight="1">
      <c r="A13" s="11" t="inlineStr">
        <is>
          <t>Criterio de Validación</t>
        </is>
      </c>
      <c r="B13" s="16" t="inlineStr">
        <is>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(CS-12) y avisa al autor (CS-07). Si falla alguna de estas comprobaciones,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IF(Obj_CS01[[#This Row],[Descripción]]="","",ROW()-ROW(Obj_CS01[[#Headers],[Objetivo]]))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CS-01</t>
        </is>
      </c>
      <c r="C11" s="13" t="n"/>
      <c r="D11" s="13" t="n"/>
      <c r="E11" s="13" t="n"/>
      <c r="F11" s="13" t="n"/>
    </row>
    <row r="12" ht="48" customHeight="1">
      <c r="A12" s="11" t="inlineStr">
        <is>
          <t>Task Description</t>
        </is>
      </c>
      <c r="B12" s="16" t="inlineStr">
        <is>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is>
      </c>
      <c r="C12" s="13" t="n"/>
      <c r="D12" s="13" t="n"/>
      <c r="E12" s="13" t="n"/>
      <c r="F12" s="13" t="n"/>
    </row>
    <row r="13" ht="93" customHeight="1">
      <c r="A13" s="11" t="inlineStr">
        <is>
          <t>Criterio de Validación</t>
        </is>
      </c>
      <c r="B13" s="16" t="inlineStr">
        <is>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IF(Obj_CS02[[#This Row],[Descripción]]="","",ROW()-ROW(Obj_CS02[[#Headers],[Objetivo]]))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Sec. 11</t>
        </is>
      </c>
      <c r="C11" s="13" t="n"/>
      <c r="D11" s="13" t="n"/>
      <c r="E11" s="13" t="n"/>
      <c r="F11" s="13" t="n"/>
    </row>
    <row r="12" ht="63" customHeight="1">
      <c r="A12" s="11" t="inlineStr">
        <is>
          <t>Task Description</t>
        </is>
      </c>
      <c r="B12" s="16" t="inlineStr">
        <is>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is>
      </c>
      <c r="C12" s="13" t="n"/>
      <c r="D12" s="13" t="n"/>
      <c r="E12" s="13" t="n"/>
      <c r="F12" s="13" t="n"/>
    </row>
    <row r="13" ht="93" customHeight="1">
      <c r="A13" s="11" t="inlineStr">
        <is>
          <t>Criterio de Validación</t>
        </is>
      </c>
      <c r="B13" s="16" t="inlineStr">
        <is>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IF(Obj_CS03[[#This Row],[Descripción]]="","",ROW()-ROW(Obj_CS03[[#Headers],[Objetivo]]))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Sec. 8, 11</t>
        </is>
      </c>
      <c r="C11" s="13" t="n"/>
      <c r="D11" s="13" t="n"/>
      <c r="E11" s="13" t="n"/>
      <c r="F11" s="13" t="n"/>
    </row>
    <row r="12" ht="48" customHeight="1">
      <c r="A12" s="11" t="inlineStr">
        <is>
          <t>Task Description</t>
        </is>
      </c>
      <c r="B12" s="16" t="inlineStr">
        <is>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is>
      </c>
      <c r="C12" s="13" t="n"/>
      <c r="D12" s="13" t="n"/>
      <c r="E12" s="13" t="n"/>
      <c r="F12" s="13" t="n"/>
    </row>
    <row r="13" ht="78" customHeight="1">
      <c r="A13" s="11" t="inlineStr">
        <is>
          <t>Criterio de Validación</t>
        </is>
      </c>
      <c r="B13" s="16" t="inlineStr">
        <is>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IF(Obj_CS04[[#This Row],[Descripción]]="","",ROW()-ROW(Obj_CS04[[#Headers],[Objetivo]]))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CS-04</t>
        </is>
      </c>
      <c r="C11" s="13" t="n"/>
      <c r="D11" s="13" t="n"/>
      <c r="E11" s="13" t="n"/>
      <c r="F11" s="13" t="n"/>
    </row>
    <row r="12" ht="48" customHeight="1">
      <c r="A12" s="11" t="inlineStr">
        <is>
          <t>Task Description</t>
        </is>
      </c>
      <c r="B12" s="16" t="inlineStr">
        <is>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is>
      </c>
      <c r="C12" s="13" t="n"/>
      <c r="D12" s="13" t="n"/>
      <c r="E12" s="13" t="n"/>
      <c r="F12" s="13" t="n"/>
    </row>
    <row r="13" ht="78" customHeight="1">
      <c r="A13" s="11" t="inlineStr">
        <is>
          <t>Criterio de Validación</t>
        </is>
      </c>
      <c r="B13" s="16" t="inlineStr">
        <is>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IF(Obj_CS05[[#This Row],[Descripción]]="","",ROW()-ROW(Obj_CS05[[#Headers],[Objetivo]]))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CS-05</t>
        </is>
      </c>
      <c r="C11" s="13" t="n"/>
      <c r="D11" s="13" t="n"/>
      <c r="E11" s="13" t="n"/>
      <c r="F11" s="13" t="n"/>
    </row>
    <row r="12" ht="48" customHeight="1">
      <c r="A12" s="11" t="inlineStr">
        <is>
          <t>Task Description</t>
        </is>
      </c>
      <c r="B12" s="16" t="inlineStr">
        <is>
          <t>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is>
      </c>
      <c r="C12" s="13" t="n"/>
      <c r="D12" s="13" t="n"/>
      <c r="E12" s="13" t="n"/>
      <c r="F12" s="13" t="n"/>
    </row>
    <row r="13" ht="93" customHeight="1">
      <c r="A13" s="11" t="inlineStr">
        <is>
          <t>Criterio de Validación</t>
        </is>
      </c>
      <c r="B13" s="16" t="inlineStr">
        <is>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IF(Obj_CS06[[#This Row],[Descripción]]="","",ROW()-ROW(Obj_CS06[[#Headers],[Objetivo]]))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CS-01, CS-02</t>
        </is>
      </c>
      <c r="C11" s="13" t="n"/>
      <c r="D11" s="13" t="n"/>
      <c r="E11" s="13" t="n"/>
      <c r="F11" s="13" t="n"/>
    </row>
    <row r="12" ht="63" customHeight="1">
      <c r="A12" s="11" t="inlineStr">
        <is>
          <t>Task Description</t>
        </is>
      </c>
      <c r="B12" s="16" t="inlineStr">
        <is>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is>
      </c>
      <c r="C12" s="13" t="n"/>
      <c r="D12" s="13" t="n"/>
      <c r="E12" s="13" t="n"/>
      <c r="F12" s="13" t="n"/>
    </row>
    <row r="13" ht="78" customHeight="1">
      <c r="A13" s="11" t="inlineStr">
        <is>
          <t>Criterio de Validación</t>
        </is>
      </c>
      <c r="B13" s="16" t="inlineStr">
        <is>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IF(Obj_CS07[[#This Row],[Descripción]]="","",ROW()-ROW(Obj_CS07[[#Headers],[Objetivo]]))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CS-07</t>
        </is>
      </c>
      <c r="C11" s="13" t="n"/>
      <c r="D11" s="13" t="n"/>
      <c r="E11" s="13" t="n"/>
      <c r="F11" s="13" t="n"/>
    </row>
    <row r="12" ht="48" customHeight="1">
      <c r="A12" s="11" t="inlineStr">
        <is>
          <t>Task Description</t>
        </is>
      </c>
      <c r="B12" s="16" t="inlineStr">
        <is>
          <t>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is>
      </c>
      <c r="C12" s="13" t="n"/>
      <c r="D12" s="13" t="n"/>
      <c r="E12" s="13" t="n"/>
      <c r="F12" s="13" t="n"/>
    </row>
    <row r="13" ht="78" customHeight="1">
      <c r="A13" s="11" t="inlineStr">
        <is>
          <t>Criterio de Validación</t>
        </is>
      </c>
      <c r="B13" s="16" t="inlineStr">
        <is>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IF(Obj_CS08[[#This Row],[Descripción]]="","",ROW()-ROW(Obj_CS08[[#Headers],[Objetivo]]))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CS-09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Sec. 6.2, 6.4</t>
        </is>
      </c>
      <c r="C11" s="13" t="n"/>
      <c r="D11" s="13" t="n"/>
      <c r="E11" s="13" t="n"/>
      <c r="F11" s="13" t="n"/>
    </row>
    <row r="12" ht="63" customHeight="1">
      <c r="A12" s="11" t="inlineStr">
        <is>
          <t>Task Description</t>
        </is>
      </c>
      <c r="B12" s="16" t="inlineStr">
        <is>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is>
      </c>
      <c r="C12" s="13" t="n"/>
      <c r="D12" s="13" t="n"/>
      <c r="E12" s="13" t="n"/>
      <c r="F12" s="13" t="n"/>
    </row>
    <row r="13" ht="78" customHeight="1">
      <c r="A13" s="11" t="inlineStr">
        <is>
          <t>Criterio de Validación</t>
        </is>
      </c>
      <c r="B13" s="16" t="inlineStr">
        <is>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IF(Obj_CS09[[#This Row],[Descripción]]="","",ROW()-ROW(Obj_CS09[[#Headers],[Objetivo]]))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6.5 / Sec. 6.4, 8</t>
        </is>
      </c>
      <c r="C11" s="13" t="n"/>
      <c r="D11" s="13" t="n"/>
      <c r="E11" s="13" t="n"/>
      <c r="F11" s="13" t="n"/>
    </row>
    <row r="12" ht="48" customHeight="1">
      <c r="A12" s="11" t="inlineStr">
        <is>
          <t>Task Description</t>
        </is>
      </c>
      <c r="B12" s="16" t="inlineStr">
        <is>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is>
      </c>
      <c r="C12" s="13" t="n"/>
      <c r="D12" s="13" t="n"/>
      <c r="E12" s="13" t="n"/>
      <c r="F12" s="13" t="n"/>
    </row>
    <row r="13" ht="78" customHeight="1">
      <c r="A13" s="11" t="inlineStr">
        <is>
          <t>Criterio de Validación</t>
        </is>
      </c>
      <c r="B13" s="16" t="inlineStr">
        <is>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IF(Obj_CS10[[#This Row],[Descripción]]="","",ROW()-ROW(Obj_CS10[[#Headers],[Objetivo]]))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6.5 / CS-10</t>
        </is>
      </c>
      <c r="C11" s="13" t="n"/>
      <c r="D11" s="13" t="n"/>
      <c r="E11" s="13" t="n"/>
      <c r="F11" s="13" t="n"/>
    </row>
    <row r="12" ht="48" customHeight="1">
      <c r="A12" s="11" t="inlineStr">
        <is>
          <t>Task Description</t>
        </is>
      </c>
      <c r="B12" s="16" t="inlineStr">
        <is>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is>
      </c>
      <c r="C12" s="13" t="n"/>
      <c r="D12" s="13" t="n"/>
      <c r="E12" s="13" t="n"/>
      <c r="F12" s="13" t="n"/>
    </row>
    <row r="13" ht="93" customHeight="1">
      <c r="A13" s="11" t="inlineStr">
        <is>
          <t>Criterio de Validación</t>
        </is>
      </c>
      <c r="B13" s="16" t="inlineStr">
        <is>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IF(Obj_CS11[[#This Row],[Descripción]]="","",ROW()-ROW(Obj_CS11[[#Headers],[Objetivo]]))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6.5 / CS-01, CS-10</t>
        </is>
      </c>
      <c r="C11" s="13" t="n"/>
      <c r="D11" s="13" t="n"/>
      <c r="E11" s="13" t="n"/>
      <c r="F11" s="13" t="n"/>
    </row>
    <row r="12" ht="48" customHeight="1">
      <c r="A12" s="11" t="inlineStr">
        <is>
          <t>Task Description</t>
        </is>
      </c>
      <c r="B12" s="16" t="inlineStr">
        <is>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is>
      </c>
      <c r="C12" s="13" t="n"/>
      <c r="D12" s="13" t="n"/>
      <c r="E12" s="13" t="n"/>
      <c r="F12" s="13" t="n"/>
    </row>
    <row r="13" ht="78" customHeight="1">
      <c r="A13" s="11" t="inlineStr">
        <is>
          <t>Criterio de Validación</t>
        </is>
      </c>
      <c r="B13" s="16" t="inlineStr">
        <is>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IF(Obj_CS12[[#This Row],[Descripción]]="","",ROW()-ROW(Obj_CS12[[#Headers],[Objetivo]]))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Sec. 11, CS-01</t>
        </is>
      </c>
      <c r="C11" s="13" t="n"/>
      <c r="D11" s="13" t="n"/>
      <c r="E11" s="13" t="n"/>
      <c r="F11" s="13" t="n"/>
    </row>
    <row r="12" ht="48" customHeight="1">
      <c r="A12" s="11" t="inlineStr">
        <is>
          <t>Task Description</t>
        </is>
      </c>
      <c r="B12" s="16" t="inlineStr">
        <is>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is>
      </c>
      <c r="C12" s="13" t="n"/>
      <c r="D12" s="13" t="n"/>
      <c r="E12" s="13" t="n"/>
      <c r="F12" s="13" t="n"/>
    </row>
    <row r="13" ht="93" customHeight="1">
      <c r="A13" s="11" t="inlineStr">
        <is>
          <t>Criterio de Validación</t>
        </is>
      </c>
      <c r="B13" s="16" t="inlineStr">
        <is>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IF(Obj_CS13[[#This Row],[Descripción]]="","",ROW()-ROW(Obj_CS13[[#Headers],[Objetivo]]))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CS-01, CS-02, CS-12</t>
        </is>
      </c>
      <c r="C11" s="13" t="n"/>
      <c r="D11" s="13" t="n"/>
      <c r="E11" s="13" t="n"/>
      <c r="F11" s="13" t="n"/>
    </row>
    <row r="12" ht="63" customHeight="1">
      <c r="A12" s="11" t="inlineStr">
        <is>
          <t>Task Description</t>
        </is>
      </c>
      <c r="B12" s="16" t="inlineStr">
        <is>
          <t>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is>
      </c>
      <c r="C12" s="13" t="n"/>
      <c r="D12" s="13" t="n"/>
      <c r="E12" s="13" t="n"/>
      <c r="F12" s="13" t="n"/>
    </row>
    <row r="13" ht="78" customHeight="1">
      <c r="A13" s="11" t="inlineStr">
        <is>
          <t>Criterio de Validación</t>
        </is>
      </c>
      <c r="B13" s="16" t="inlineStr">
        <is>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IF(Obj_CS14[[#This Row],[Descripción]]="","",ROW()-ROW(Obj_CS14[[#Headers],[Objetivo]]))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6.8 / CS-03, CS-07</t>
        </is>
      </c>
      <c r="C11" s="13" t="n"/>
      <c r="D11" s="13" t="n"/>
      <c r="E11" s="13" t="n"/>
      <c r="F11" s="13" t="n"/>
    </row>
    <row r="12" ht="48" customHeight="1">
      <c r="A12" s="11" t="inlineStr">
        <is>
          <t>Task Description</t>
        </is>
      </c>
      <c r="B12" s="16" t="inlineStr">
        <is>
          <t>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is>
      </c>
      <c r="C12" s="13" t="n"/>
      <c r="D12" s="13" t="n"/>
      <c r="E12" s="13" t="n"/>
      <c r="F12" s="13" t="n"/>
    </row>
    <row r="13" ht="93" customHeight="1">
      <c r="A13" s="11" t="inlineStr">
        <is>
          <t>Criterio de Validación</t>
        </is>
      </c>
      <c r="B13" s="16" t="inlineStr">
        <is>
          <t>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IF(Obj_CS15[[#This Row],[Descripción]]="","",ROW()-ROW(Obj_CS15[[#Headers],[Objetivo]]))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CS-04, CS-05</t>
        </is>
      </c>
      <c r="C11" s="13" t="n"/>
      <c r="D11" s="13" t="n"/>
      <c r="E11" s="13" t="n"/>
      <c r="F11" s="13" t="n"/>
    </row>
    <row r="12" ht="48" customHeight="1">
      <c r="A12" s="11" t="inlineStr">
        <is>
          <t>Task Description</t>
        </is>
      </c>
      <c r="B12" s="16" t="inlineStr">
        <is>
          <t>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is>
      </c>
      <c r="C12" s="13" t="n"/>
      <c r="D12" s="13" t="n"/>
      <c r="E12" s="13" t="n"/>
      <c r="F12" s="13" t="n"/>
    </row>
    <row r="13" ht="78" customHeight="1">
      <c r="A13" s="11" t="inlineStr">
        <is>
          <t>Criterio de Validación</t>
        </is>
      </c>
      <c r="B13" s="16" t="inlineStr">
        <is>
          <t>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IF(Obj_CS16[[#This Row],[Descripción]]="","",ROW()-ROW(Obj_CS16[[#Headers],[Objetivo]]))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Sec. 11, CS-04</t>
        </is>
      </c>
      <c r="C11" s="13" t="n"/>
      <c r="D11" s="13" t="n"/>
      <c r="E11" s="13" t="n"/>
      <c r="F11" s="13" t="n"/>
    </row>
    <row r="12" ht="63" customHeight="1">
      <c r="A12" s="11" t="inlineStr">
        <is>
          <t>Task Description</t>
        </is>
      </c>
      <c r="B12" s="16" t="inlineStr">
        <is>
          <t>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is>
      </c>
      <c r="C12" s="13" t="n"/>
      <c r="D12" s="13" t="n"/>
      <c r="E12" s="13" t="n"/>
      <c r="F12" s="13" t="n"/>
    </row>
    <row r="13" ht="78" customHeight="1">
      <c r="A13" s="11" t="inlineStr">
        <is>
          <t>Criterio de Validación</t>
        </is>
      </c>
      <c r="B13" s="16" t="inlineStr">
        <is>
          <t>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IF(Obj_CS17[[#This Row],[Descripción]]="","",ROW()-ROW(Obj_CS17[[#Headers],[Objetivo]]))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6.9 / CS-06, Sec. 11</t>
        </is>
      </c>
      <c r="C11" s="13" t="n"/>
      <c r="D11" s="13" t="n"/>
      <c r="E11" s="13" t="n"/>
      <c r="F11" s="13" t="n"/>
    </row>
    <row r="12" ht="63" customHeight="1">
      <c r="A12" s="11" t="inlineStr">
        <is>
          <t>Task Description</t>
        </is>
      </c>
      <c r="B12" s="16" t="inlineStr">
        <is>
          <t>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is>
      </c>
      <c r="C12" s="13" t="n"/>
      <c r="D12" s="13" t="n"/>
      <c r="E12" s="13" t="n"/>
      <c r="F12" s="13" t="n"/>
    </row>
    <row r="13" ht="93" customHeight="1">
      <c r="A13" s="11" t="inlineStr">
        <is>
          <t>Criterio de Validación</t>
        </is>
      </c>
      <c r="B13" s="16" t="inlineStr">
        <is>
          <t>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IF(Obj_CS18[[#This Row],[Descripción]]="","",ROW()-ROW(Obj_CS18[[#Headers],[Objetivo]]))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CS-19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CS-06, CS-08</t>
        </is>
      </c>
      <c r="C11" s="13" t="n"/>
      <c r="D11" s="13" t="n"/>
      <c r="E11" s="13" t="n"/>
      <c r="F11" s="13" t="n"/>
    </row>
    <row r="12" ht="48" customHeight="1">
      <c r="A12" s="11" t="inlineStr">
        <is>
          <t>Task Description</t>
        </is>
      </c>
      <c r="B12" s="16" t="inlineStr">
        <is>
          <t>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is>
      </c>
      <c r="C12" s="13" t="n"/>
      <c r="D12" s="13" t="n"/>
      <c r="E12" s="13" t="n"/>
      <c r="F12" s="13" t="n"/>
    </row>
    <row r="13" ht="78" customHeight="1">
      <c r="A13" s="11" t="inlineStr">
        <is>
          <t>Criterio de Validación</t>
        </is>
      </c>
      <c r="B13" s="16" t="inlineStr">
        <is>
          <t>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IF(Obj_CS19[[#This Row],[Descripción]]="","",ROW()-ROW(Obj_CS19[[#Headers],[Objetivo]]))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CS-07, CS-09</t>
        </is>
      </c>
      <c r="C11" s="13" t="n"/>
      <c r="D11" s="13" t="n"/>
      <c r="E11" s="13" t="n"/>
      <c r="F11" s="13" t="n"/>
    </row>
    <row r="12" ht="63" customHeight="1">
      <c r="A12" s="11" t="inlineStr">
        <is>
          <t>Task Description</t>
        </is>
      </c>
      <c r="B12" s="16" t="inlineStr">
        <is>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is>
      </c>
      <c r="C12" s="13" t="n"/>
      <c r="D12" s="13" t="n"/>
      <c r="E12" s="13" t="n"/>
      <c r="F12" s="13" t="n"/>
    </row>
    <row r="13" ht="93" customHeight="1">
      <c r="A13" s="11" t="inlineStr">
        <is>
          <t>Criterio de Validación</t>
        </is>
      </c>
      <c r="B13" s="16" t="inlineStr">
        <is>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IF(Obj_CS20[[#This Row],[Descripción]]="","",ROW()-ROW(Obj_CS20[[#Headers],[Objetivo]]))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Joaquin</t>
        </is>
      </c>
      <c r="C9" s="13" t="n"/>
      <c r="D9" s="13" t="n"/>
      <c r="E9" s="13" t="n"/>
      <c r="F9" s="13" t="n"/>
    </row>
    <row r="10" ht="18" customHeight="1">
      <c r="A10" s="11" t="inlineStr">
        <is>
          <t>Fecha</t>
        </is>
      </c>
      <c r="B10" s="17" t="n">
        <v>46286</v>
      </c>
      <c r="C10" s="13" t="n"/>
      <c r="D10" s="13" t="n"/>
      <c r="E10" s="13" t="n"/>
      <c r="F10" s="13" t="n"/>
    </row>
    <row r="11" ht="18" customHeight="1">
      <c r="A11" s="11" t="inlineStr">
        <is>
          <t>Prior Reference</t>
        </is>
      </c>
      <c r="B11" s="16" t="inlineStr">
        <is>
          <t>Sec. 6.10 / Sec. 7, CS-07</t>
        </is>
      </c>
      <c r="C11" s="13" t="n"/>
      <c r="D11" s="13" t="n"/>
      <c r="E11" s="13" t="n"/>
      <c r="F11" s="13" t="n"/>
    </row>
    <row r="12" ht="63" customHeight="1">
      <c r="A12" s="11" t="inlineStr">
        <is>
          <t>Task Description</t>
        </is>
      </c>
      <c r="B12" s="16" t="inlineStr">
        <is>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is>
      </c>
      <c r="C12" s="13" t="n"/>
      <c r="D12" s="13" t="n"/>
      <c r="E12" s="13" t="n"/>
      <c r="F12" s="13" t="n"/>
    </row>
    <row r="13" ht="78" customHeight="1">
      <c r="A13" s="11" t="inlineStr">
        <is>
          <t>Criterio de Validación</t>
        </is>
      </c>
      <c r="B13" s="16" t="inlineStr">
        <is>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IF(Obj_CS21[[#This Row],[Descripción]]="","",ROW()-ROW(Obj_CS21[[#Headers],[Objetivo]]))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is>
      </c>
      <c r="C12" s="13" t="n"/>
      <c r="D12" s="13" t="n"/>
      <c r="E12" s="13" t="n"/>
      <c r="F12" s="13" t="n"/>
    </row>
    <row r="13" ht="63" customHeight="1">
      <c r="A13" s="11" t="inlineStr">
        <is>
          <t>Criterio de Validación</t>
        </is>
      </c>
      <c r="B13" s="16" t="inlineStr">
        <is>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IF(Obj_CS22[[#This Row],[Descripción]]="","",ROW()-ROW(Obj_CS22[[#Headers],[Objetivo]]))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En el menú de navegación, puedo darle a un botón que me lleva a una pestaña de búsqueda. Desde esta pestaña sigo pudiendo acceder al menú de navegación de la aplicación, para cambiar a otras pestañas.</t>
        </is>
      </c>
      <c r="C12" s="13" t="n"/>
      <c r="D12" s="13" t="n"/>
      <c r="E12" s="13" t="n"/>
      <c r="F12" s="13" t="n"/>
    </row>
    <row r="13" ht="45" customHeight="1">
      <c r="A13" s="11" t="inlineStr">
        <is>
          <t>Criterio de Validación</t>
        </is>
      </c>
      <c r="B13" s="16" t="inlineStr">
        <is>
          <t>Si al darle al botón que me lleva a la página de búsqueda, no me lleva, no está completo. Si no aparece la barra de búsqueda, o no me deja seleccionarla, tampoco.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IF(Obj_CS23[[#This Row],[Descripción]]="","",ROW()-ROW(Obj_CS23[[#Headers],[Objetivo]]))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is>
      </c>
      <c r="C12" s="13" t="n"/>
      <c r="D12" s="13" t="n"/>
      <c r="E12" s="13" t="n"/>
      <c r="F12" s="13" t="n"/>
    </row>
    <row r="13" ht="63" customHeight="1">
      <c r="A13" s="11" t="inlineStr">
        <is>
          <t>Criterio de Validación</t>
        </is>
      </c>
      <c r="B13" s="16" t="inlineStr">
        <is>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IF(Obj_CS24[[#This Row],[Descripción]]="","",ROW()-ROW(Obj_CS24[[#Headers],[Objetivo]]))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93" customHeight="1">
      <c r="A12" s="11" t="inlineStr">
        <is>
          <t>Task Description</t>
        </is>
      </c>
      <c r="B12" s="16" t="inlineStr">
        <is>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is>
      </c>
      <c r="C12" s="13" t="n"/>
      <c r="D12" s="13" t="n"/>
      <c r="E12" s="13" t="n"/>
      <c r="F12" s="13" t="n"/>
    </row>
    <row r="13" ht="78" customHeight="1">
      <c r="A13" s="11" t="inlineStr">
        <is>
          <t>Criterio de Validación</t>
        </is>
      </c>
      <c r="B13" s="16" t="inlineStr">
        <is>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IF(Obj_CS25[[#This Row],[Descripción]]="","",ROW()-ROW(Obj_CS25[[#Headers],[Objetivo]]))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78" customHeight="1">
      <c r="A12" s="11" t="inlineStr">
        <is>
          <t>Task Description</t>
        </is>
      </c>
      <c r="B12" s="16" t="inlineStr">
        <is>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is>
      </c>
      <c r="C12" s="13" t="n"/>
      <c r="D12" s="13" t="n"/>
      <c r="E12" s="13" t="n"/>
      <c r="F12" s="13" t="n"/>
    </row>
    <row r="13" ht="78" customHeight="1">
      <c r="A13" s="11" t="inlineStr">
        <is>
          <t>Criterio de Validación</t>
        </is>
      </c>
      <c r="B13" s="16" t="inlineStr">
        <is>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IF(Obj_CS26[[#This Row],[Descripción]]="","",ROW()-ROW(Obj_CS26[[#Headers],[Objetivo]]))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is>
      </c>
      <c r="C12" s="13" t="n"/>
      <c r="D12" s="13" t="n"/>
      <c r="E12" s="13" t="n"/>
      <c r="F12" s="13" t="n"/>
    </row>
    <row r="13" ht="93" customHeight="1">
      <c r="A13" s="11" t="inlineStr">
        <is>
          <t>Criterio de Validación</t>
        </is>
      </c>
      <c r="B13" s="16" t="inlineStr">
        <is>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IF(Obj_CS27[[#This Row],[Descripción]]="","",ROW()-ROW(Obj_CS27[[#Headers],[Objetivo]]))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is>
      </c>
      <c r="C12" s="13" t="n"/>
      <c r="D12" s="13" t="n"/>
      <c r="E12" s="13" t="n"/>
      <c r="F12" s="13" t="n"/>
    </row>
    <row r="13" ht="93" customHeight="1">
      <c r="A13" s="11" t="inlineStr">
        <is>
          <t>Criterio de Validación</t>
        </is>
      </c>
      <c r="B13" s="16" t="inlineStr">
        <is>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IF(Obj_CS28[[#This Row],[Descripción]]="","",ROW()-ROW(Obj_CS28[[#Headers],[Objetivo]]))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CS-29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is>
      </c>
      <c r="C12" s="13" t="n"/>
      <c r="D12" s="13" t="n"/>
      <c r="E12" s="13" t="n"/>
      <c r="F12" s="13" t="n"/>
    </row>
    <row r="13" ht="63" customHeight="1">
      <c r="A13" s="11" t="inlineStr">
        <is>
          <t>Criterio de Validación</t>
        </is>
      </c>
      <c r="B13" s="16" t="inlineStr">
        <is>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IF(Obj_CS29[[#This Row],[Descripción]]="","",ROW()-ROW(Obj_CS29[[#Headers],[Objetivo]]))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is>
      </c>
      <c r="C12" s="13" t="n"/>
      <c r="D12" s="13" t="n"/>
      <c r="E12" s="13" t="n"/>
      <c r="F12" s="13" t="n"/>
    </row>
    <row r="13" ht="63" customHeight="1">
      <c r="A13" s="11" t="inlineStr">
        <is>
          <t>Criterio de Validación</t>
        </is>
      </c>
      <c r="B13" s="16" t="inlineStr">
        <is>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IF(Obj_CS30[[#This Row],[Descripción]]="","",ROW()-ROW(Obj_CS30[[#Headers],[Objetivo]]))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En la pestaña de buscar podré activar un filtro llamado “Experiencias de mis amigos”, que incluya únicamente aquellas experiencias creadas por mis amigos, para las que tenga acceso.</t>
        </is>
      </c>
      <c r="C12" s="13" t="n"/>
      <c r="D12" s="13" t="n"/>
      <c r="E12" s="13" t="n"/>
      <c r="F12" s="13" t="n"/>
    </row>
    <row r="13" ht="48" customHeight="1">
      <c r="A13" s="11" t="inlineStr">
        <is>
          <t>Criterio de Validación</t>
        </is>
      </c>
      <c r="B13" s="16" t="inlineStr">
        <is>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IF(Obj_CS31[[#This Row],[Descripción]]="","",ROW()-ROW(Obj_CS31[[#Headers],[Objetivo]]))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is>
      </c>
      <c r="C12" s="13" t="n"/>
      <c r="D12" s="13" t="n"/>
      <c r="E12" s="13" t="n"/>
      <c r="F12" s="13" t="n"/>
    </row>
    <row r="13" ht="48" customHeight="1">
      <c r="A13" s="11" t="inlineStr">
        <is>
          <t>Criterio de Validación</t>
        </is>
      </c>
      <c r="B13" s="16" t="inlineStr">
        <is>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IF(Obj_CS32[[#This Row],[Descripción]]="","",ROW()-ROW(Obj_CS32[[#Headers],[Objetivo]]))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En la pestaña de búsqueda puedo pulsar un botón que elimina el texto escrito, y los filtros seleccionados. No cambiará el orden de búsqueda.</t>
        </is>
      </c>
      <c r="C12" s="13" t="n"/>
      <c r="D12" s="13" t="n"/>
      <c r="E12" s="13" t="n"/>
      <c r="F12" s="13" t="n"/>
    </row>
    <row r="13" ht="78" customHeight="1">
      <c r="A13" s="11" t="inlineStr">
        <is>
          <t>Criterio de Validación</t>
        </is>
      </c>
      <c r="B13" s="16" t="inlineStr">
        <is>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IF(Obj_CS33[[#This Row],[Descripción]]="","",ROW()-ROW(Obj_CS33[[#Headers],[Objetivo]]))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is>
      </c>
      <c r="C12" s="13" t="n"/>
      <c r="D12" s="13" t="n"/>
      <c r="E12" s="13" t="n"/>
      <c r="F12" s="13" t="n"/>
    </row>
    <row r="13" ht="78" customHeight="1">
      <c r="A13" s="11" t="inlineStr">
        <is>
          <t>Criterio de Validación</t>
        </is>
      </c>
      <c r="B13" s="16" t="inlineStr">
        <is>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IF(Obj_CS34[[#This Row],[Descripción]]="","",ROW()-ROW(Obj_CS34[[#Headers],[Objetivo]]))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Cuando una búsqueda devuelva más experiencias de las que se muestran inicialmente, puedo pulsar “Cargar más” para consultar el siguiente grupo. Las experiencias nuevas se añadirán a la lista manteniendo los mismos criterios y el mismo orden.</t>
        </is>
      </c>
      <c r="C12" s="13" t="n"/>
      <c r="D12" s="13" t="n"/>
      <c r="E12" s="13" t="n"/>
      <c r="F12" s="13" t="n"/>
    </row>
    <row r="13" ht="63" customHeight="1">
      <c r="A13" s="11" t="inlineStr">
        <is>
          <t>Criterio de Validación</t>
        </is>
      </c>
      <c r="B13" s="16" t="inlineStr">
        <is>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IF(Obj_CS35[[#This Row],[Descripción]]="","",ROW()-ROW(Obj_CS35[[#Headers],[Objetivo]]))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is>
      </c>
      <c r="C12" s="13" t="n"/>
      <c r="D12" s="13" t="n"/>
      <c r="E12" s="13" t="n"/>
      <c r="F12" s="13" t="n"/>
    </row>
    <row r="13" ht="78" customHeight="1">
      <c r="A13" s="11" t="inlineStr">
        <is>
          <t>Criterio de Validación</t>
        </is>
      </c>
      <c r="B13" s="16" t="inlineStr">
        <is>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IF(Obj_CS36[[#This Row],[Descripción]]="","",ROW()-ROW(Obj_CS36[[#Headers],[Objetivo]]))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6.11</t>
        </is>
      </c>
      <c r="C11" s="13" t="n"/>
      <c r="D11" s="13" t="n"/>
      <c r="E11" s="13" t="n"/>
      <c r="F11" s="13" t="n"/>
    </row>
    <row r="12" ht="45" customHeight="1">
      <c r="A12" s="11" t="inlineStr">
        <is>
          <t>Task Description</t>
        </is>
      </c>
      <c r="B12" s="16" t="inlineStr">
        <is>
          <t>Como usuario, quiero copiar el enlace de una experiencia para compartirla con otras personas.</t>
        </is>
      </c>
      <c r="C12" s="13" t="n"/>
      <c r="D12" s="13" t="n"/>
      <c r="E12" s="13" t="n"/>
      <c r="F12" s="13" t="n"/>
    </row>
    <row r="13" ht="45" customHeight="1">
      <c r="A13" s="11" t="inlineStr">
        <is>
          <t>Criterio de Validación</t>
        </is>
      </c>
      <c r="B13" s="16" t="inlineStr">
        <is>
          <t>Al pulsar «Copiar enlace», se copia la dirección al portapapeles y se muestra una confirmación. El enlace abre la experiencia si quien lo recibe tiene permiso para verla.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IF(Obj_CS37[[#This Row],[Descripción]]="","",ROW()-ROW(Obj_CS37[[#Headers],[Objetivo]]))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6.11</t>
        </is>
      </c>
      <c r="C11" s="13" t="n"/>
      <c r="D11" s="13" t="n"/>
      <c r="E11" s="13" t="n"/>
      <c r="F11" s="13" t="n"/>
    </row>
    <row r="12" ht="45" customHeight="1">
      <c r="A12" s="11" t="inlineStr">
        <is>
          <t>Task Description</t>
        </is>
      </c>
      <c r="B12" s="16" t="inlineStr">
        <is>
          <t>Como usuario, quiero compartir una experiencia mediante una aplicación de mensajería para proponer un plan a mis amigos.</t>
        </is>
      </c>
      <c r="C12" s="13" t="n"/>
      <c r="D12" s="13" t="n"/>
      <c r="E12" s="13" t="n"/>
      <c r="F12" s="13" t="n"/>
    </row>
    <row r="13" ht="45" customHeight="1">
      <c r="A13" s="11" t="inlineStr">
        <is>
          <t>Criterio de Validación</t>
        </is>
      </c>
      <c r="B13" s="16" t="inlineStr">
        <is>
          <t>Al pulsar «Compartir», aparecen las opciones disponibles del dispositivo. Al elegir una aplicación compatible, se prepara un mensaje con el enlace; el usuario elige el destinatario y confirma el envío.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IF(Obj_CS38[[#This Row],[Descripción]]="","",ROW()-ROW(Obj_CS38[[#Headers],[Objetivo]]))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CS-39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6.12</t>
        </is>
      </c>
      <c r="C11" s="13" t="n"/>
      <c r="D11" s="13" t="n"/>
      <c r="E11" s="13" t="n"/>
      <c r="F11" s="13" t="n"/>
    </row>
    <row r="12" ht="45" customHeight="1">
      <c r="A12" s="11" t="inlineStr">
        <is>
          <t>Task Description</t>
        </is>
      </c>
      <c r="B12" s="16" t="inlineStr">
        <is>
          <t>Como usuario, quiero recibir recomendaciones de experiencias en la ciudad que seleccione para descubrir planes en el lugar que me interesa.</t>
        </is>
      </c>
      <c r="C12" s="13" t="n"/>
      <c r="D12" s="13" t="n"/>
      <c r="E12" s="13" t="n"/>
      <c r="F12" s="13" t="n"/>
    </row>
    <row r="13" ht="45" customHeight="1">
      <c r="A13" s="11" t="inlineStr">
        <is>
          <t>Criterio de Validación</t>
        </is>
      </c>
      <c r="B13" s="16" t="inlineStr">
        <is>
          <t>Las recomendaciones pertenecen a la ciudad seleccionada y se actualizan al cambiarla. Si no hay experiencias disponibles, se muestra un mensaje indicándolo.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IF(Obj_CS39[[#This Row],[Descripción]]="","",ROW()-ROW(Obj_CS39[[#Headers],[Objetivo]]))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6.12</t>
        </is>
      </c>
      <c r="C11" s="13" t="n"/>
      <c r="D11" s="13" t="n"/>
      <c r="E11" s="13" t="n"/>
      <c r="F11" s="13" t="n"/>
    </row>
    <row r="12" ht="45" customHeight="1">
      <c r="A12" s="11" t="inlineStr">
        <is>
          <t>Task Description</t>
        </is>
      </c>
      <c r="B12" s="16" t="inlineStr">
        <is>
          <t>Como usuario, quiero indicar las categorías de experiencias que me gustan para recibir recomendaciones relacionadas con mis intereses.</t>
        </is>
      </c>
      <c r="C12" s="13" t="n"/>
      <c r="D12" s="13" t="n"/>
      <c r="E12" s="13" t="n"/>
      <c r="F12" s="13" t="n"/>
    </row>
    <row r="13" ht="45" customHeight="1">
      <c r="A13" s="11" t="inlineStr">
        <is>
          <t>Criterio de Validación</t>
        </is>
      </c>
      <c r="B13" s="16" t="inlineStr">
        <is>
          <t>El usuario puede guardar sus categorías de interés. Si hay experiencias de esas categorías, se priorizan en las recomendaciones. Al cambiar sus intereses, se actualizan las sugerencias.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IF(Obj_CS40[[#This Row],[Descripción]]="","",ROW()-ROW(Obj_CS40[[#Headers],[Objetivo]]))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6.12</t>
        </is>
      </c>
      <c r="C11" s="13" t="n"/>
      <c r="D11" s="13" t="n"/>
      <c r="E11" s="13" t="n"/>
      <c r="F11" s="13" t="n"/>
    </row>
    <row r="12" ht="45" customHeight="1">
      <c r="A12" s="11" t="inlineStr">
        <is>
          <t>Task Description</t>
        </is>
      </c>
      <c r="B12" s="16" t="inlineStr">
        <is>
          <t>Como usuario, quiero recibir recomendaciones de experiencias similares a las que he guardado para descubrir nuevos planes que puedan interesarme.</t>
        </is>
      </c>
      <c r="C12" s="13" t="n"/>
      <c r="D12" s="13" t="n"/>
      <c r="E12" s="13" t="n"/>
      <c r="F12" s="13" t="n"/>
    </row>
    <row r="13" ht="45" customHeight="1">
      <c r="A13" s="11" t="inlineStr">
        <is>
          <t>Criterio de Validación</t>
        </is>
      </c>
      <c r="B13" s="16" t="inlineStr">
        <is>
          <t>Si hay experiencias guardadas y otras disponibles de las mismas categorías, estas aparecen como sugerencias. Las ya guardadas no se muestran como nuevos descubrimientos.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IF(Obj_CS41[[#This Row],[Descripción]]="","",ROW()-ROW(Obj_CS41[[#Headers],[Objetivo]]))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Jorge</t>
        </is>
      </c>
      <c r="C9" s="13" t="n"/>
      <c r="D9" s="13" t="n"/>
      <c r="E9" s="13" t="n"/>
      <c r="F9" s="13" t="n"/>
    </row>
    <row r="10" ht="15" customHeight="1">
      <c r="A10" s="11" t="inlineStr">
        <is>
          <t>Fecha</t>
        </is>
      </c>
      <c r="B10" s="17" t="n"/>
      <c r="C10" s="13" t="n"/>
      <c r="D10" s="13" t="n"/>
      <c r="E10" s="13" t="n"/>
      <c r="F10" s="13" t="n"/>
    </row>
    <row r="11" ht="18" customHeight="1">
      <c r="A11" s="11" t="inlineStr">
        <is>
          <t>Prior Reference</t>
        </is>
      </c>
      <c r="B11" s="16" t="inlineStr">
        <is>
          <t>Apartado 6.12</t>
        </is>
      </c>
      <c r="C11" s="13" t="n"/>
      <c r="D11" s="13" t="n"/>
      <c r="E11" s="13" t="n"/>
      <c r="F11" s="13" t="n"/>
    </row>
    <row r="12" ht="45" customHeight="1">
      <c r="A12" s="11" t="inlineStr">
        <is>
          <t>Task Description</t>
        </is>
      </c>
      <c r="B12" s="16" t="inlineStr">
        <is>
          <t>Como usuario, quiero que mis valoraciones influyan en las recomendaciones para descubrir experiencias similares a las que más me han gustado.</t>
        </is>
      </c>
      <c r="C12" s="13" t="n"/>
      <c r="D12" s="13" t="n"/>
      <c r="E12" s="13" t="n"/>
      <c r="F12" s="13" t="n"/>
    </row>
    <row r="13" ht="45" customHeight="1">
      <c r="A13" s="11" t="inlineStr">
        <is>
          <t>Criterio de Validación</t>
        </is>
      </c>
      <c r="B13" s="16" t="inlineStr">
        <is>
          <t>Se priorizan experiencias de las categorías valoradas positivamente por el usuario cuando están disponibles. Las experiencias ya valoradas no se muestran como nuevos descubrimientos.</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IF(Obj_CS42[[#This Row],[Descripción]]="","",ROW()-ROW(Obj_CS42[[#Headers],[Objetivo]]))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is>
      </c>
      <c r="C12" s="13" t="n"/>
      <c r="D12" s="13" t="n"/>
      <c r="E12" s="13" t="n"/>
      <c r="F12" s="13" t="n"/>
    </row>
    <row r="13" ht="93" customHeight="1">
      <c r="A13" s="11" t="inlineStr">
        <is>
          <t>Criterio de Validación</t>
        </is>
      </c>
      <c r="B13" s="16" t="inlineStr">
        <is>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IF(Obj_CS43[[#This Row],[Descripción]]="","",ROW()-ROW(Obj_CS43[[#Headers],[Objetivo]]))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is>
      </c>
      <c r="C12" s="13" t="n"/>
      <c r="D12" s="13" t="n"/>
      <c r="E12" s="13" t="n"/>
      <c r="F12" s="13" t="n"/>
    </row>
    <row r="13" ht="78" customHeight="1">
      <c r="A13" s="11" t="inlineStr">
        <is>
          <t>Criterio de Validación</t>
        </is>
      </c>
      <c r="B13" s="16" t="inlineStr">
        <is>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IF(Obj_CS44[[#This Row],[Descripción]]="","",ROW()-ROW(Obj_CS44[[#Headers],[Objetivo]]))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is>
      </c>
      <c r="C12" s="13" t="n"/>
      <c r="D12" s="13" t="n"/>
      <c r="E12" s="13" t="n"/>
      <c r="F12" s="13" t="n"/>
    </row>
    <row r="13" ht="78" customHeight="1">
      <c r="A13" s="11" t="inlineStr">
        <is>
          <t>Criterio de Validación</t>
        </is>
      </c>
      <c r="B13" s="16" t="inlineStr">
        <is>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IF(Obj_CS45[[#This Row],[Descripción]]="","",ROW()-ROW(Obj_CS45[[#Headers],[Objetivo]]))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is>
      </c>
      <c r="C12" s="13" t="n"/>
      <c r="D12" s="13" t="n"/>
      <c r="E12" s="13" t="n"/>
      <c r="F12" s="13" t="n"/>
    </row>
    <row r="13" ht="78" customHeight="1">
      <c r="A13" s="11" t="inlineStr">
        <is>
          <t>Criterio de Validación</t>
        </is>
      </c>
      <c r="B13" s="16" t="inlineStr">
        <is>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IF(Obj_CS46[[#This Row],[Descripción]]="","",ROW()-ROW(Obj_CS46[[#Headers],[Objetivo]]))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F2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63" customHeight="1">
      <c r="A12" s="11" t="inlineStr">
        <is>
          <t>Task Description</t>
        </is>
      </c>
      <c r="B12" s="16" t="inlineStr">
        <is>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is>
      </c>
      <c r="C12" s="13" t="n"/>
      <c r="D12" s="13" t="n"/>
      <c r="E12" s="13" t="n"/>
      <c r="F12" s="13" t="n"/>
    </row>
    <row r="13" ht="93" customHeight="1">
      <c r="A13" s="11" t="inlineStr">
        <is>
          <t>Criterio de Validación</t>
        </is>
      </c>
      <c r="B13" s="16" t="inlineStr">
        <is>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8" customHeight="1">
      <c r="A17" s="21">
        <f>IF(Obj_CS47[[#This Row],[Descripción]]="","",ROW()-ROW(Obj_CS47[[#Headers],[Objetivo]]))</f>
        <v/>
      </c>
      <c r="B17" s="22" t="inlineStr">
        <is>
          <t>Añadir campo nombreUsuario a la entidad Usuario, único</t>
        </is>
      </c>
      <c r="C17" s="6" t="inlineStr">
        <is>
          <t>Sí</t>
        </is>
      </c>
      <c r="D17" s="6" t="n"/>
      <c r="E17" s="23" t="n"/>
      <c r="F17" s="23" t="n">
        <v>30</v>
      </c>
    </row>
    <row r="18" ht="33" customHeight="1">
      <c r="A18" s="21">
        <f>IF(Obj_CS47[[#This Row],[Descripción]]="","",ROW()-ROW(Obj_CS47[[#Headers],[Objetivo]]))</f>
        <v/>
      </c>
      <c r="B18" s="22" t="inlineStr">
        <is>
          <t>Validar longitud y caracteres permitidos del nombre de usuario</t>
        </is>
      </c>
      <c r="C18" s="6" t="inlineStr">
        <is>
          <t>Sí</t>
        </is>
      </c>
      <c r="D18" s="6" t="n"/>
      <c r="E18" s="23" t="n"/>
      <c r="F18" s="23" t="n">
        <v>20</v>
      </c>
    </row>
    <row r="19" ht="18" customHeight="1">
      <c r="A19" s="21">
        <f>IF(Obj_CS47[[#This Row],[Descripción]]="","",ROW()-ROW(Obj_CS47[[#Headers],[Objetivo]]))</f>
        <v/>
      </c>
      <c r="B19" s="22" t="inlineStr">
        <is>
          <t>Añadir campo foto a la entidad Usuario</t>
        </is>
      </c>
      <c r="C19" s="6" t="inlineStr">
        <is>
          <t>Sí</t>
        </is>
      </c>
      <c r="D19" s="6" t="n"/>
      <c r="E19" s="23" t="n"/>
      <c r="F19" s="23" t="n">
        <v>10</v>
      </c>
    </row>
    <row r="20" ht="33" customHeight="1">
      <c r="A20" s="21">
        <f>IF(Obj_CS47[[#This Row],[Descripción]]="","",ROW()-ROW(Obj_CS47[[#Headers],[Objetivo]]))</f>
        <v/>
      </c>
      <c r="B20" s="22" t="inlineStr">
        <is>
          <t>Función para subir la foto (validar formato JPG/PNG/WebP y tamaño máximo)</t>
        </is>
      </c>
      <c r="C20" s="6" t="inlineStr">
        <is>
          <t>Sí</t>
        </is>
      </c>
      <c r="D20" s="6" t="n"/>
      <c r="E20" s="23" t="n"/>
      <c r="F20" s="23" t="n">
        <v>30</v>
      </c>
    </row>
    <row r="21" ht="33" customHeight="1">
      <c r="A21" s="21">
        <f>IF(Obj_CS47[[#This Row],[Descripción]]="","",ROW()-ROW(Obj_CS47[[#Headers],[Objetivo]]))</f>
        <v/>
      </c>
      <c r="B21" s="22" t="inlineStr">
        <is>
          <t>Guardar la foto fuera de la base de datos (Cloudinary) y solo su URL en el perfil</t>
        </is>
      </c>
      <c r="C21" s="6" t="inlineStr">
        <is>
          <t>Sí</t>
        </is>
      </c>
      <c r="D21" s="6" t="n"/>
      <c r="E21" s="23" t="n"/>
      <c r="F21" s="23" t="n">
        <v>30</v>
      </c>
    </row>
    <row r="22" ht="18" customHeight="1">
      <c r="A22" s="21">
        <f>IF(Obj_CS47[[#This Row],[Descripción]]="","",ROW()-ROW(Obj_CS47[[#Headers],[Objetivo]]))</f>
        <v/>
      </c>
      <c r="B22" s="22" t="inlineStr">
        <is>
          <t>Mostrar imagen por defecto si no hay foto</t>
        </is>
      </c>
      <c r="C22" s="6" t="inlineStr">
        <is>
          <t>Sí</t>
        </is>
      </c>
      <c r="D22" s="6" t="n"/>
      <c r="E22" s="23" t="n"/>
      <c r="F22" s="23" t="n">
        <v>20</v>
      </c>
    </row>
    <row r="23" ht="18" customHeight="1">
      <c r="A23" s="21">
        <f>IF(Obj_CS47[[#This Row],[Descripción]]="","",ROW()-ROW(Obj_CS47[[#Headers],[Objetivo]]))</f>
        <v/>
      </c>
      <c r="B23" s="22" t="inlineStr">
        <is>
          <t>Función para crear el perfil</t>
        </is>
      </c>
      <c r="C23" s="6" t="inlineStr">
        <is>
          <t>Sí</t>
        </is>
      </c>
      <c r="D23" s="6" t="n"/>
      <c r="E23" s="23" t="n"/>
      <c r="F23" s="23" t="n">
        <v>35</v>
      </c>
    </row>
    <row r="24" ht="18" customHeight="1">
      <c r="A24" s="21">
        <f>IF(Obj_CS47[[#This Row],[Descripción]]="","",ROW()-ROW(Obj_CS47[[#Headers],[Objetivo]]))</f>
        <v/>
      </c>
      <c r="B24" s="22" t="inlineStr">
        <is>
          <t>Función para editar el perfil (solo el propio usuario)</t>
        </is>
      </c>
      <c r="C24" s="6" t="inlineStr">
        <is>
          <t>Sí</t>
        </is>
      </c>
      <c r="D24" s="6" t="n"/>
      <c r="E24" s="23" t="n"/>
      <c r="F24" s="23" t="n">
        <v>8</v>
      </c>
    </row>
    <row r="25" ht="18" customHeight="1">
      <c r="A25" s="21">
        <f>IF(Obj_CS47[[#This Row],[Descripción]]="","",ROW()-ROW(Obj_CS47[[#Headers],[Objetivo]]))</f>
        <v/>
      </c>
      <c r="B25" s="22" t="inlineStr">
        <is>
          <t>Función para consultar el perfil propio</t>
        </is>
      </c>
      <c r="C25" s="6" t="inlineStr">
        <is>
          <t>Sí</t>
        </is>
      </c>
      <c r="D25" s="6" t="n"/>
      <c r="E25" s="23" t="n"/>
      <c r="F25" s="23" t="n">
        <v>15</v>
      </c>
    </row>
    <row r="26" ht="33" customHeight="1">
      <c r="A26" s="21">
        <f>IF(Obj_CS47[[#This Row],[Descripción]]="","",ROW()-ROW(Obj_CS47[[#Headers],[Objetivo]]))</f>
        <v/>
      </c>
      <c r="B26" s="22" t="inlineStr">
        <is>
          <t>Probar los casos del criterio de validación (nombre duplicado, foto inválida, edición reflejada)</t>
        </is>
      </c>
      <c r="C26" s="6" t="inlineStr">
        <is>
          <t>Sí</t>
        </is>
      </c>
      <c r="D26" s="6" t="n"/>
      <c r="E26" s="23" t="n">
        <v>5</v>
      </c>
      <c r="F26" s="23" t="n"/>
    </row>
    <row r="27" ht="18" customHeight="1">
      <c r="A27" s="21">
        <f>IF(Obj_CS47[[#This Row],[Descripción]]="","",ROW()-ROW(Obj_CS47[[#Headers],[Objetivo]]))</f>
        <v/>
      </c>
      <c r="B27" s="22" t="inlineStr">
        <is>
          <t>Pantalla de perfil en el frontend</t>
        </is>
      </c>
      <c r="C27" s="6" t="inlineStr">
        <is>
          <t>Sí</t>
        </is>
      </c>
      <c r="D27" s="6" t="n"/>
      <c r="E27" s="23" t="n"/>
      <c r="F27" s="23" t="n">
        <v>10</v>
      </c>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Flavia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is>
      </c>
      <c r="C12" s="13" t="n"/>
      <c r="D12" s="13" t="n"/>
      <c r="E12" s="13" t="n"/>
      <c r="F12" s="13" t="n"/>
    </row>
    <row r="13" ht="93" customHeight="1">
      <c r="A13" s="11" t="inlineStr">
        <is>
          <t>Criterio de Validación</t>
        </is>
      </c>
      <c r="B13" s="16" t="inlineStr">
        <is>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IF(Obj_CS48[[#This Row],[Descripción]]="","",ROW()-ROW(Obj_CS48[[#Headers],[Objetivo]]))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F25"/>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CS-49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Crear la entidad Experiencia con los campos título, descripción, ciudad, tipo ,y momento adecuado. Cada experiencia pertenece obligatoriamente a una única ciudad.</t>
        </is>
      </c>
      <c r="C12" s="13" t="n"/>
      <c r="D12" s="13" t="n"/>
      <c r="E12" s="13" t="n"/>
      <c r="F12" s="13" t="n"/>
    </row>
    <row r="13" ht="48" customHeight="1">
      <c r="A13" s="11" t="inlineStr">
        <is>
          <t>Criterio de Validación</t>
        </is>
      </c>
      <c r="B13" s="16" t="inlineStr">
        <is>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33" customHeight="1">
      <c r="A17" s="21">
        <f>IF(Obj_CS49[[#This Row],[Descripción]]="","",ROW()-ROW(Obj_CS49[[#Headers],[Objetivo]]))</f>
        <v/>
      </c>
      <c r="B17" s="22" t="inlineStr">
        <is>
          <t>Crear la entidad Experiencia (título, descripción, ciudad, tipo, momento adecuado)</t>
        </is>
      </c>
      <c r="C17" s="6" t="inlineStr">
        <is>
          <t>Sí</t>
        </is>
      </c>
      <c r="D17" s="6" t="n"/>
      <c r="E17" s="23" t="n"/>
      <c r="F17" s="23" t="n">
        <v>15</v>
      </c>
    </row>
    <row r="18" ht="18" customHeight="1">
      <c r="A18" s="21">
        <f>IF(Obj_CS49[[#This Row],[Descripción]]="","",ROW()-ROW(Obj_CS49[[#Headers],[Objetivo]]))</f>
        <v/>
      </c>
      <c r="B18" s="22" t="inlineStr">
        <is>
          <t>Relacionar cada experiencia con una única ciudad</t>
        </is>
      </c>
      <c r="C18" s="6" t="inlineStr">
        <is>
          <t>Sí</t>
        </is>
      </c>
      <c r="D18" s="6" t="n"/>
      <c r="E18" s="23" t="n"/>
      <c r="F18" s="23" t="n">
        <v>15</v>
      </c>
    </row>
    <row r="19" ht="33" customHeight="1">
      <c r="A19" s="21">
        <f>IF(Obj_CS49[[#This Row],[Descripción]]="","",ROW()-ROW(Obj_CS49[[#Headers],[Objetivo]]))</f>
        <v/>
      </c>
      <c r="B19" s="22" t="inlineStr">
        <is>
          <t>Validar que los campos obligatorios estén presentes al crear</t>
        </is>
      </c>
      <c r="C19" s="6" t="inlineStr">
        <is>
          <t>Sí</t>
        </is>
      </c>
      <c r="D19" s="6" t="n"/>
      <c r="E19" s="23" t="n"/>
      <c r="F19" s="23" t="n">
        <v>5</v>
      </c>
    </row>
    <row r="20" ht="18" customHeight="1">
      <c r="A20" s="21">
        <f>IF(Obj_CS49[[#This Row],[Descripción]]="","",ROW()-ROW(Obj_CS49[[#Headers],[Objetivo]]))</f>
        <v/>
      </c>
      <c r="B20" s="22" t="inlineStr">
        <is>
          <t>Función para crear una experiencia</t>
        </is>
      </c>
      <c r="C20" s="6" t="inlineStr">
        <is>
          <t>Sí</t>
        </is>
      </c>
      <c r="D20" s="6" t="n"/>
      <c r="E20" s="23" t="n"/>
      <c r="F20" s="23" t="n">
        <v>10</v>
      </c>
    </row>
    <row r="21" ht="18" customHeight="1">
      <c r="A21" s="21">
        <f>IF(Obj_CS49[[#This Row],[Descripción]]="","",ROW()-ROW(Obj_CS49[[#Headers],[Objetivo]]))</f>
        <v/>
      </c>
      <c r="B21" s="22" t="inlineStr">
        <is>
          <t>Creación del primer catálogo de ciudades</t>
        </is>
      </c>
      <c r="C21" s="6" t="inlineStr">
        <is>
          <t>Sí</t>
        </is>
      </c>
      <c r="D21" s="6" t="n"/>
      <c r="E21" s="23" t="n"/>
      <c r="F21" s="23" t="n">
        <v>30</v>
      </c>
    </row>
    <row r="22" ht="18" customHeight="1">
      <c r="A22" s="21">
        <f>IF(Obj_CS49[[#This Row],[Descripción]]="","",ROW()-ROW(Obj_CS49[[#Headers],[Objetivo]]))</f>
        <v/>
      </c>
      <c r="B22" s="22" t="inlineStr">
        <is>
          <t>Rechazar la creación si falta algún campo obligatorio</t>
        </is>
      </c>
      <c r="C22" s="6" t="inlineStr">
        <is>
          <t>Sí</t>
        </is>
      </c>
      <c r="D22" s="6" t="n"/>
      <c r="E22" s="23" t="n"/>
      <c r="F22" s="23" t="n">
        <v>10</v>
      </c>
    </row>
    <row r="23" ht="33" customHeight="1">
      <c r="A23" s="21">
        <f>IF(Obj_CS49[[#This Row],[Descripción]]="","",ROW()-ROW(Obj_CS49[[#Headers],[Objetivo]]))</f>
        <v/>
      </c>
      <c r="B23" s="22" t="inlineStr">
        <is>
          <t>Probar que la experiencia queda asociada solo a su ciudad</t>
        </is>
      </c>
      <c r="C23" s="6" t="inlineStr">
        <is>
          <t>Sí</t>
        </is>
      </c>
      <c r="D23" s="6" t="n"/>
      <c r="E23" s="23" t="n"/>
      <c r="F23" s="23" t="n">
        <v>5</v>
      </c>
    </row>
    <row r="24" ht="18" customHeight="1">
      <c r="A24" s="21">
        <f>IF(Obj_CS49[[#This Row],[Descripción]]="","",ROW()-ROW(Obj_CS49[[#Headers],[Objetivo]]))</f>
        <v/>
      </c>
      <c r="B24" s="22" t="inlineStr">
        <is>
          <t>Probar el caso de creación con datos válidos</t>
        </is>
      </c>
      <c r="C24" s="6" t="inlineStr">
        <is>
          <t>Sí</t>
        </is>
      </c>
      <c r="D24" s="6" t="n"/>
      <c r="E24" s="23" t="n"/>
      <c r="F24" s="23" t="n">
        <v>5</v>
      </c>
    </row>
    <row r="25" ht="33" customHeight="1">
      <c r="A25" s="21">
        <f>IF(Obj_CS49[[#This Row],[Descripción]]="","",ROW()-ROW(Obj_CS49[[#Headers],[Objetivo]]))</f>
        <v/>
      </c>
      <c r="B25" s="22" t="inlineStr">
        <is>
          <t>Pantalla para crear experiencias en el frontend (botón «+» en la bienvenida)</t>
        </is>
      </c>
      <c r="C25" s="6" t="inlineStr">
        <is>
          <t>Sí</t>
        </is>
      </c>
      <c r="D25" s="6" t="n"/>
      <c r="E25" s="23" t="n">
        <v>5</v>
      </c>
      <c r="F25"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Permitir añadir a una experiencia lugares específicos, como parques, museos, negocios, o eventos, y asociarlos con su ciudad o barrio. También podrás incluir un link a la página web oficial de cada lugar, si la tiene.</t>
        </is>
      </c>
      <c r="C12" s="13" t="n"/>
      <c r="D12" s="13" t="n"/>
      <c r="E12" s="13" t="n"/>
      <c r="F12" s="13" t="n"/>
    </row>
    <row r="13" ht="63" customHeight="1">
      <c r="A13" s="11" t="inlineStr">
        <is>
          <t>Criterio de Validación</t>
        </is>
      </c>
      <c r="B13" s="16" t="inlineStr">
        <is>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IF(Obj_CS50[[#This Row],[Descripción]]="","",ROW()-ROW(Obj_CS50[[#Headers],[Objetivo]]))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CS-51</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Implementar una secuencia editable que permita ordenar varias experiencias y definir el recorrido o itinerario completo que seguirá el usuario.</t>
        </is>
      </c>
      <c r="C12" s="13" t="n"/>
      <c r="D12" s="13" t="n"/>
      <c r="E12" s="13" t="n"/>
      <c r="F12" s="13" t="n"/>
    </row>
    <row r="13" ht="45" customHeight="1">
      <c r="A13" s="11" t="inlineStr">
        <is>
          <t>Criterio de Validación</t>
        </is>
      </c>
      <c r="B13" s="16" t="inlineStr">
        <is>
          <t>Si el usuario decide cambiar el orden de los lugares, la nueva secuencia se guarda correctamente y se mantiene al volver a abrir el itinerario.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IF(Obj_CS51[[#This Row],[Descripción]]="","",ROW()-ROW(Obj_CS51[[#Headers],[Objetivo]]))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CS-52</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Permitir añadir fotografías y/o un comentario opcional a cada experiencia para complementar la información y hacer el itinerario más útil para otros usuarios.</t>
        </is>
      </c>
      <c r="C12" s="13" t="n"/>
      <c r="D12" s="13" t="n"/>
      <c r="E12" s="13" t="n"/>
      <c r="F12" s="13" t="n"/>
    </row>
    <row r="13" ht="45" customHeight="1">
      <c r="A13" s="11" t="inlineStr">
        <is>
          <t>Criterio de Validación</t>
        </is>
      </c>
      <c r="B13" s="16" t="inlineStr">
        <is>
          <t>Si un usuario añade una foto o un comentario en un lugar concreto, ambos se quedan asociados a la experiencia correspondiente y se muestran al consultarla. Si el lugar no pertenece a la experiencia, no se guarda el contenido.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IF(Obj_CS52[[#This Row],[Descripción]]="","",ROW()-ROW(Obj_CS52[[#Headers],[Objetivo]]))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CS-53</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Añadir a cada experiencia los campos duración estimada y tarifa aproximada, permitiendo ofrecer una referencia de presupuesto y tiempo necesario para realizar la actividad.</t>
        </is>
      </c>
      <c r="C12" s="13" t="n"/>
      <c r="D12" s="13" t="n"/>
      <c r="E12" s="13" t="n"/>
      <c r="F12" s="13" t="n"/>
    </row>
    <row r="13" ht="45" customHeight="1">
      <c r="A13" s="11" t="inlineStr">
        <is>
          <t>Criterio de Validación</t>
        </is>
      </c>
      <c r="B13" s="16" t="inlineStr">
        <is>
          <t>Si el usuario introduce una duración y tarifa válidas, la información se guarda y se muestra a otros usuarios correctamente. Los valores inválidos o negativos se rechazan.</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IF(Obj_CS53[[#This Row],[Descripción]]="","",ROW()-ROW(Obj_CS53[[#Headers],[Objetivo]]))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CS-54</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Permitir asociar eventos específicos y temporales a un lugar, indicando su nombre, detalles, y la fecha en la que se celebran para diferenciar actividades permanentes de experiencias que tienen una duración determinada.</t>
        </is>
      </c>
      <c r="C12" s="13" t="n"/>
      <c r="D12" s="13" t="n"/>
      <c r="E12" s="13" t="n"/>
      <c r="F12" s="13" t="n"/>
    </row>
    <row r="13" ht="45" customHeight="1">
      <c r="A13" s="11" t="inlineStr">
        <is>
          <t>Criterio de Validación</t>
        </is>
      </c>
      <c r="B13" s="16" t="inlineStr">
        <is>
          <t>Si un usuario añade un evento con una fecha válida, queda vinculado al lugar elegido. Si la fecha es incorrecta, no se registra.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IF(Obj_CS54[[#This Row],[Descripción]]="","",ROW()-ROW(Obj_CS54[[#Headers],[Objetivo]]))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CS-55</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Permitir clasificar las experiencias mediante una categoría, como cultural, naturaleza, gastronómica, familiar, entre otras categorías definidas. Esto ayuda a facilitar su organización y búsqueda.</t>
        </is>
      </c>
      <c r="C12" s="13" t="n"/>
      <c r="D12" s="13" t="n"/>
      <c r="E12" s="13" t="n"/>
      <c r="F12" s="13" t="n"/>
    </row>
    <row r="13" ht="45" customHeight="1">
      <c r="A13" s="11" t="inlineStr">
        <is>
          <t>Criterio de Validación</t>
        </is>
      </c>
      <c r="B13" s="16" t="inlineStr">
        <is>
          <t>Si el usuario selecciona una categoría permitida, la experiencia queda clasificada y podrá encontrarse aplicando ese filtro.</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IF(Obj_CS55[[#This Row],[Descripción]]="","",ROW()-ROW(Obj_CS55[[#Headers],[Objetivo]]))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CS-56</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Añadir el campo momento recomendado para indicar cuándo es más adecuada la experiencia, basado en la hora del día, la estación, el día de la semana o la temporada.</t>
        </is>
      </c>
      <c r="C12" s="13" t="n"/>
      <c r="D12" s="13" t="n"/>
      <c r="E12" s="13" t="n"/>
      <c r="F12" s="13" t="n"/>
    </row>
    <row r="13" ht="45" customHeight="1">
      <c r="A13" s="11" t="inlineStr">
        <is>
          <t>Criterio de Validación</t>
        </is>
      </c>
      <c r="B13" s="16" t="inlineStr">
        <is>
          <t>Si el usuario selecciona un momento preestablecido, este se guarda correctamente y aparece en la información de la experiencia. Valores fuera de las opciones permitidas no se aceptan.</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IF(Obj_CS56[[#This Row],[Descripción]]="","",ROW()-ROW(Obj_CS56[[#Headers],[Objetivo]]))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F24"/>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CS-57</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Crear el endpoint de edición de una experiencia para permitir modificar sus características, como el título, o la categoría, manteniendo la restricción de una única ciudad.</t>
        </is>
      </c>
      <c r="C12" s="13" t="n"/>
      <c r="D12" s="13" t="n"/>
      <c r="E12" s="13" t="n"/>
      <c r="F12" s="13" t="n"/>
    </row>
    <row r="13" ht="48" customHeight="1">
      <c r="A13" s="11" t="inlineStr">
        <is>
          <t>Criterio de Validación</t>
        </is>
      </c>
      <c r="B13" s="16" t="inlineStr">
        <is>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8" customHeight="1">
      <c r="A17" s="21">
        <f>IF(Obj_CS57[[#This Row],[Descripción]]="","",ROW()-ROW(Obj_CS57[[#Headers],[Objetivo]]))</f>
        <v/>
      </c>
      <c r="B17" s="22" t="inlineStr">
        <is>
          <t>Crear la función de edición de una experiencia</t>
        </is>
      </c>
      <c r="C17" s="6" t="inlineStr">
        <is>
          <t>Sí</t>
        </is>
      </c>
      <c r="D17" s="6" t="n"/>
      <c r="E17" s="23" t="n"/>
      <c r="F17" s="23" t="n">
        <v>20</v>
      </c>
    </row>
    <row r="18" ht="18" customHeight="1">
      <c r="A18" s="21">
        <f>IF(Obj_CS57[[#This Row],[Descripción]]="","",ROW()-ROW(Obj_CS57[[#Headers],[Objetivo]]))</f>
        <v/>
      </c>
      <c r="B18" s="22" t="inlineStr">
        <is>
          <t>Permitir modificar título, categoría y otros campos</t>
        </is>
      </c>
      <c r="C18" s="6" t="inlineStr">
        <is>
          <t>Sí</t>
        </is>
      </c>
      <c r="D18" s="6" t="n"/>
      <c r="E18" s="23" t="n"/>
      <c r="F18" s="23" t="n">
        <v>15</v>
      </c>
    </row>
    <row r="19" ht="18" customHeight="1">
      <c r="A19" s="21">
        <f>IF(Obj_CS57[[#This Row],[Descripción]]="","",ROW()-ROW(Obj_CS57[[#Headers],[Objetivo]]))</f>
        <v/>
      </c>
      <c r="B19" s="22" t="inlineStr">
        <is>
          <t>Mantener la restricción de una única ciudad al editar</t>
        </is>
      </c>
      <c r="C19" s="6" t="inlineStr">
        <is>
          <t>Sí</t>
        </is>
      </c>
      <c r="D19" s="6" t="n"/>
      <c r="E19" s="23" t="n"/>
      <c r="F19" s="23" t="n">
        <v>10</v>
      </c>
    </row>
    <row r="20" ht="33" customHeight="1">
      <c r="A20" s="21">
        <f>IF(Obj_CS57[[#This Row],[Descripción]]="","",ROW()-ROW(Obj_CS57[[#Headers],[Objetivo]]))</f>
        <v/>
      </c>
      <c r="B20" s="22" t="inlineStr">
        <is>
          <t>Rechazar el cambio de ciudad si es incompatible con los lugares ya existentes</t>
        </is>
      </c>
      <c r="C20" s="6" t="inlineStr">
        <is>
          <t>No</t>
        </is>
      </c>
      <c r="D20" s="6" t="n"/>
      <c r="E20" s="23" t="n"/>
      <c r="F20" s="23" t="n"/>
    </row>
    <row r="21" ht="18" customHeight="1">
      <c r="A21" s="21">
        <f>IF(Obj_CS57[[#This Row],[Descripción]]="","",ROW()-ROW(Obj_CS57[[#Headers],[Objetivo]]))</f>
        <v/>
      </c>
      <c r="B21" s="22" t="inlineStr">
        <is>
          <t>Restringir la edición solo al autor de la experiencia</t>
        </is>
      </c>
      <c r="C21" s="6" t="inlineStr">
        <is>
          <t>Sí</t>
        </is>
      </c>
      <c r="D21" s="6" t="n"/>
      <c r="E21" s="23" t="n"/>
      <c r="F21" s="23" t="n">
        <v>5</v>
      </c>
    </row>
    <row r="22" ht="18" customHeight="1">
      <c r="A22" s="21">
        <f>IF(Obj_CS57[[#This Row],[Descripción]]="","",ROW()-ROW(Obj_CS57[[#Headers],[Objetivo]]))</f>
        <v/>
      </c>
      <c r="B22" s="22" t="inlineStr">
        <is>
          <t>Probar que un usuario no autor no puede editar</t>
        </is>
      </c>
      <c r="C22" s="6" t="inlineStr">
        <is>
          <t>Sí</t>
        </is>
      </c>
      <c r="D22" s="6" t="n"/>
      <c r="E22" s="23" t="n">
        <v>5</v>
      </c>
      <c r="F22" s="23" t="n"/>
    </row>
    <row r="23" ht="33" customHeight="1">
      <c r="A23" s="21">
        <f>IF(Obj_CS57[[#This Row],[Descripción]]="","",ROW()-ROW(Obj_CS57[[#Headers],[Objetivo]]))</f>
        <v/>
      </c>
      <c r="B23" s="22" t="inlineStr">
        <is>
          <t>Probar que los cambios sustituyen correctamente a los datos anteriores</t>
        </is>
      </c>
      <c r="C23" s="6" t="inlineStr">
        <is>
          <t>Sí</t>
        </is>
      </c>
      <c r="D23" s="6" t="n"/>
      <c r="E23" s="23" t="n">
        <v>5</v>
      </c>
      <c r="F23" s="23" t="n"/>
    </row>
    <row r="24" ht="33" customHeight="1">
      <c r="A24" s="21">
        <f>IF(Obj_CS57[[#This Row],[Descripción]]="","",ROW()-ROW(Obj_CS57[[#Headers],[Objetivo]]))</f>
        <v/>
      </c>
      <c r="B24" s="22" t="inlineStr">
        <is>
          <t>Pantalla para editar experiencias en el frontend (pulsando su tarjeta en la bienvenida)</t>
        </is>
      </c>
      <c r="C24" s="6" t="inlineStr">
        <is>
          <t>Sí</t>
        </is>
      </c>
      <c r="D24" s="6" t="n"/>
      <c r="E24" s="23" t="n">
        <v>5</v>
      </c>
      <c r="F24"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CS-58</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Lucia</t>
        </is>
      </c>
      <c r="C9" s="13" t="n"/>
      <c r="D9" s="13" t="n"/>
      <c r="E9" s="13" t="n"/>
      <c r="F9" s="13" t="n"/>
    </row>
    <row r="10" ht="18" customHeight="1">
      <c r="A10" s="11" t="inlineStr">
        <is>
          <t>Fecha</t>
        </is>
      </c>
      <c r="B10" s="17" t="n">
        <v>46286</v>
      </c>
      <c r="C10" s="13" t="n"/>
      <c r="D10" s="13" t="n"/>
      <c r="E10" s="13" t="n"/>
      <c r="F10" s="13" t="n"/>
    </row>
    <row r="11" ht="15" customHeight="1">
      <c r="A11" s="11" t="inlineStr">
        <is>
          <t>Prior Reference</t>
        </is>
      </c>
      <c r="B11" s="16" t="n"/>
      <c r="C11" s="13" t="n"/>
      <c r="D11" s="13" t="n"/>
      <c r="E11" s="13" t="n"/>
      <c r="F11" s="13" t="n"/>
    </row>
    <row r="12" ht="48" customHeight="1">
      <c r="A12" s="11" t="inlineStr">
        <is>
          <t>Task Description</t>
        </is>
      </c>
      <c r="B12" s="16" t="inlineStr">
        <is>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is>
      </c>
      <c r="C12" s="13" t="n"/>
      <c r="D12" s="13" t="n"/>
      <c r="E12" s="13" t="n"/>
      <c r="F12" s="13" t="n"/>
    </row>
    <row r="13" ht="63" customHeight="1">
      <c r="A13" s="11" t="inlineStr">
        <is>
          <t>Criterio de Validación</t>
        </is>
      </c>
      <c r="B13" s="16" t="inlineStr">
        <is>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IF(Obj_CS58[[#This Row],[Descripción]]="","",ROW()-ROW(Obj_CS58[[#Headers],[Objetivo]]))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CS-59</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46296</v>
      </c>
      <c r="C10" s="13" t="n"/>
      <c r="D10" s="13" t="n"/>
      <c r="E10" s="13" t="n"/>
      <c r="F10" s="13" t="n"/>
    </row>
    <row r="11" ht="18" customHeight="1">
      <c r="A11" s="11" t="inlineStr">
        <is>
          <t>Prior Reference</t>
        </is>
      </c>
      <c r="B11" s="16" t="inlineStr">
        <is>
          <t>CS-47</t>
        </is>
      </c>
      <c r="C11" s="13" t="n"/>
      <c r="D11" s="13" t="n"/>
      <c r="E11" s="13" t="n"/>
      <c r="F11" s="13" t="n"/>
    </row>
    <row r="12" ht="48" customHeight="1">
      <c r="A12" s="11" t="inlineStr">
        <is>
          <t>Task Description</t>
        </is>
      </c>
      <c r="B12" s="16" t="inlineStr">
        <is>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is>
      </c>
      <c r="C12" s="13" t="n"/>
      <c r="D12" s="13" t="n"/>
      <c r="E12" s="13" t="n"/>
      <c r="F12" s="13" t="n"/>
    </row>
    <row r="13" ht="78" customHeight="1">
      <c r="A13" s="11" t="inlineStr">
        <is>
          <t>Criterio de Validación</t>
        </is>
      </c>
      <c r="B13" s="16" t="inlineStr">
        <is>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is>
      </c>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33" customHeight="1">
      <c r="A17" s="21">
        <f>IF(Obj_CS59[[#This Row],[Descripción]]="","",ROW()-ROW(Obj_CS59[[#Headers],[Objetivo]]))</f>
        <v/>
      </c>
      <c r="B17" s="22" t="inlineStr">
        <is>
          <t>Mostrar el formulario con nombre de usuario, email y contraseña, con validaciones HTML básicas</t>
        </is>
      </c>
      <c r="C17" s="6" t="inlineStr">
        <is>
          <t>Sí</t>
        </is>
      </c>
      <c r="D17" s="6" t="n"/>
      <c r="E17" s="23" t="n"/>
      <c r="F17" s="23" t="n"/>
    </row>
    <row r="18" ht="33" customHeight="1">
      <c r="A18" s="21">
        <f>IF(Obj_CS59[[#This Row],[Descripción]]="","",ROW()-ROW(Obj_CS59[[#Headers],[Objetivo]]))</f>
        <v/>
      </c>
      <c r="B18" s="22" t="inlineStr">
        <is>
          <t>Validar los datos en el backend y rechazar nombres o emails duplicados sin crear la cuenta</t>
        </is>
      </c>
      <c r="C18" s="6" t="inlineStr">
        <is>
          <t>Sí</t>
        </is>
      </c>
      <c r="D18" s="6" t="n"/>
      <c r="E18" s="23" t="n"/>
      <c r="F18" s="23" t="n"/>
    </row>
    <row r="19" ht="33" customHeight="1">
      <c r="A19" s="21">
        <f>IF(Obj_CS59[[#This Row],[Descripción]]="","",ROW()-ROW(Obj_CS59[[#Headers],[Objetivo]]))</f>
        <v/>
      </c>
      <c r="B19" s="22" t="inlineStr">
        <is>
          <t>Verificar el CAPTCHA de Turnstile en el servidor antes de consultar o guardar usuarios</t>
        </is>
      </c>
      <c r="C19" s="6" t="inlineStr">
        <is>
          <t>Sí</t>
        </is>
      </c>
      <c r="D19" s="6" t="n"/>
      <c r="E19" s="23" t="n"/>
      <c r="F19" s="23" t="n"/>
    </row>
    <row r="20" ht="33" customHeight="1">
      <c r="A20" s="21">
        <f>IF(Obj_CS59[[#This Row],[Descripción]]="","",ROW()-ROW(Obj_CS59[[#Headers],[Objetivo]]))</f>
        <v/>
      </c>
      <c r="B20" s="22" t="inlineStr">
        <is>
          <t>Crear la cuenta, iniciar la sesión y abrir la bienvenida cuando el registro termina correctamente</t>
        </is>
      </c>
      <c r="C20" s="6" t="inlineStr">
        <is>
          <t>Sí</t>
        </is>
      </c>
      <c r="D20" s="6" t="n"/>
      <c r="E20" s="23" t="n"/>
      <c r="F20" s="23" t="n">
        <v>30</v>
      </c>
    </row>
    <row r="21" ht="33" customHeight="1">
      <c r="A21" s="21">
        <f>IF(Obj_CS59[[#This Row],[Descripción]]="","",ROW()-ROW(Obj_CS59[[#Headers],[Objetivo]]))</f>
        <v/>
      </c>
      <c r="B21" s="22" t="inlineStr">
        <is>
          <t>Mostrar un mensaje visible ante errores de validación, red o carga y configuración del CAPTCHA</t>
        </is>
      </c>
      <c r="C21" s="6" t="inlineStr">
        <is>
          <t>Sí</t>
        </is>
      </c>
      <c r="D21" s="6" t="n"/>
      <c r="E21" s="23" t="n">
        <v>5</v>
      </c>
      <c r="F21" s="23" t="n"/>
    </row>
    <row r="22" ht="33" customHeight="1">
      <c r="A22" s="21">
        <f>IF(Obj_CS59[[#This Row],[Descripción]]="","",ROW()-ROW(Obj_CS59[[#Headers],[Objetivo]]))</f>
        <v/>
      </c>
      <c r="B22" s="22" t="inlineStr">
        <is>
          <t>Indicar que el registro está en curso, impedir envíos duplicados y reactivar el botón tras cualquier error</t>
        </is>
      </c>
      <c r="C22" s="6" t="inlineStr">
        <is>
          <t>Sí</t>
        </is>
      </c>
      <c r="D22" s="6" t="n"/>
      <c r="E22" s="23" t="n">
        <v>5</v>
      </c>
      <c r="F22" s="23" t="n"/>
    </row>
    <row r="23" ht="33" customHeight="1">
      <c r="A23" s="21">
        <f>IF(Obj_CS59[[#This Row],[Descripción]]="","",ROW()-ROW(Obj_CS59[[#Headers],[Objetivo]]))</f>
        <v/>
      </c>
      <c r="B23" s="22" t="inlineStr">
        <is>
          <t>Probar registro correcto, datos inválidos, duplicados, fallo de red, CAPTCHA no disponible y reintento</t>
        </is>
      </c>
      <c r="C23" s="6" t="inlineStr">
        <is>
          <t>Sí</t>
        </is>
      </c>
      <c r="D23" s="6" t="n"/>
      <c r="E23" s="23" t="n">
        <v>5</v>
      </c>
      <c r="F23"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8" customHeight="1">
      <c r="A2" s="11" t="inlineStr">
        <is>
          <t>Ref</t>
        </is>
      </c>
      <c r="B2" s="12" t="inlineStr">
        <is>
          <t>CS-60</t>
        </is>
      </c>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8" customHeight="1">
      <c r="A9" s="11" t="inlineStr">
        <is>
          <t>Propietario</t>
        </is>
      </c>
      <c r="B9" s="16" t="inlineStr">
        <is>
          <t>Matthew</t>
        </is>
      </c>
      <c r="C9" s="13" t="n"/>
      <c r="D9" s="13" t="n"/>
      <c r="E9" s="13" t="n"/>
      <c r="F9" s="13" t="n"/>
    </row>
    <row r="10" ht="18" customHeight="1">
      <c r="A10" s="11" t="inlineStr">
        <is>
          <t>Fecha</t>
        </is>
      </c>
      <c r="B10" s="17" t="n">
        <v>46297</v>
      </c>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inlineStr">
        <is>
          <t>Registra cada cambio en la forma de trabajo, o metodología, del equipo.</t>
        </is>
      </c>
      <c r="C12" s="13" t="n"/>
      <c r="D12" s="13" t="n"/>
      <c r="E12" s="13" t="n"/>
      <c r="F12" s="13" t="n"/>
    </row>
    <row r="13" ht="45" customHeight="1">
      <c r="A13" s="11" t="inlineStr">
        <is>
          <t>Criterio de Validación</t>
        </is>
      </c>
      <c r="B13" s="16" t="n"/>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33" customHeight="1">
      <c r="A17" s="21">
        <f>IF(Obj_CS60[[#This Row],[Descripción]]="","",ROW()-ROW(Obj_CS60[[#Headers],[Objetivo]]))</f>
        <v/>
      </c>
      <c r="B17" s="22" t="inlineStr">
        <is>
          <t>Modificación de la metodología tras la primera revisión de cliente el 02/10/2026.</t>
        </is>
      </c>
      <c r="C17" s="6" t="inlineStr">
        <is>
          <t>No</t>
        </is>
      </c>
      <c r="D17" s="6" t="inlineStr">
        <is>
          <t>Matthew</t>
        </is>
      </c>
      <c r="E17" s="23" t="n">
        <v>30</v>
      </c>
      <c r="F17" s="23" t="n">
        <v>75</v>
      </c>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tabColor rgb="00808080"/>
    <outlinePr summaryBelow="1" summaryRight="1"/>
    <pageSetUpPr fitToPage="1"/>
  </sheetPr>
  <dimension ref="A1:F17"/>
  <sheetViews>
    <sheetView workbookViewId="0">
      <selection activeCell="A1" sqref="A1"/>
    </sheetView>
  </sheetViews>
  <sheetFormatPr baseColWidth="8" defaultRowHeight="15"/>
  <cols>
    <col width="22" customWidth="1" min="1" max="1"/>
    <col width="60" customWidth="1" min="2" max="2"/>
    <col width="12" customWidth="1" min="3" max="3"/>
    <col width="16" customWidth="1" min="4" max="4"/>
    <col width="17" customWidth="1" min="5" max="5"/>
    <col width="15" customWidth="1" min="6" max="6"/>
  </cols>
  <sheetData>
    <row r="1" ht="26" customHeight="1">
      <c r="A1" s="9">
        <f>IF($B$2="","PLANTILLA · escribe la referencia CS-XX en B2",$B$2&amp;" · "&amp;$B$3)</f>
        <v/>
      </c>
      <c r="F1" s="10" t="inlineStr">
        <is>
          <t>↑ Índice</t>
        </is>
      </c>
    </row>
    <row r="2" ht="15" customHeight="1">
      <c r="A2" s="11" t="inlineStr">
        <is>
          <t>Ref</t>
        </is>
      </c>
      <c r="B2" s="12" t="n"/>
      <c r="C2" s="13" t="n"/>
      <c r="D2" s="13" t="n"/>
      <c r="E2" s="13" t="n"/>
      <c r="F2" s="13" t="n"/>
    </row>
    <row r="3" ht="15" customHeight="1">
      <c r="A3" s="11" t="inlineStr">
        <is>
          <t>Título</t>
        </is>
      </c>
      <c r="B3" s="14">
        <f>IFERROR(INDEX(Historias[Título],MATCH($B$2,Historias[Ref],0))&amp;"","")</f>
        <v/>
      </c>
      <c r="C3" s="13" t="n"/>
      <c r="D3" s="13" t="n"/>
      <c r="E3" s="13" t="n"/>
      <c r="F3" s="13" t="n"/>
    </row>
    <row r="4" ht="15" customHeight="1">
      <c r="A4" s="11" t="inlineStr">
        <is>
          <t>Estado</t>
        </is>
      </c>
      <c r="B4" s="14">
        <f>IFERROR(INDEX(Historias[Estado],MATCH($B$2,Historias[Ref],0))&amp;"","")</f>
        <v/>
      </c>
      <c r="C4" s="13" t="n"/>
      <c r="D4" s="13" t="n"/>
      <c r="E4" s="13" t="n"/>
      <c r="F4" s="13" t="n"/>
    </row>
    <row r="5" ht="15" customHeight="1">
      <c r="A5" s="11" t="inlineStr">
        <is>
          <t>Prioridad</t>
        </is>
      </c>
      <c r="B5" s="14">
        <f>IFERROR(INDEX(Historias[Prioridad],MATCH($B$2,Historias[Ref],0))&amp;"","")</f>
        <v/>
      </c>
      <c r="C5" s="13" t="n"/>
      <c r="D5" s="13" t="n"/>
      <c r="E5" s="13" t="n"/>
      <c r="F5" s="13" t="n"/>
    </row>
    <row r="6" ht="15" customHeight="1">
      <c r="A6" s="11" t="inlineStr">
        <is>
          <t>Riesgo</t>
        </is>
      </c>
      <c r="B6" s="14">
        <f>IFERROR(INDEX(Historias[Riesgo],MATCH($B$2,Historias[Ref],0))&amp;"","")</f>
        <v/>
      </c>
      <c r="C6" s="13" t="n"/>
      <c r="D6" s="13" t="n"/>
      <c r="E6" s="13" t="n"/>
      <c r="F6" s="13" t="n"/>
    </row>
    <row r="7" ht="15" customHeight="1">
      <c r="A7" s="11" t="inlineStr">
        <is>
          <t>Tiempo estimado</t>
        </is>
      </c>
      <c r="B7" s="15">
        <f>IFERROR(INDEX(Historias[Tiempo estimado],MATCH($B$2,Historias[Ref],0)),"")</f>
        <v/>
      </c>
      <c r="C7" s="13" t="n"/>
      <c r="D7" s="13" t="n"/>
      <c r="E7" s="13" t="n"/>
      <c r="F7" s="13" t="n"/>
    </row>
    <row r="8" ht="15" customHeight="1">
      <c r="A8" s="11" t="inlineStr">
        <is>
          <t>Tiempo total</t>
        </is>
      </c>
      <c r="B8" s="15">
        <f>SUM(F:F)/60</f>
        <v/>
      </c>
      <c r="C8" s="13" t="n"/>
      <c r="D8" s="13" t="n"/>
      <c r="E8" s="13" t="n"/>
      <c r="F8" s="13" t="n"/>
    </row>
    <row r="9" ht="15" customHeight="1">
      <c r="A9" s="11" t="inlineStr">
        <is>
          <t>Propietario</t>
        </is>
      </c>
      <c r="B9" s="16" t="n"/>
      <c r="C9" s="13" t="n"/>
      <c r="D9" s="13" t="n"/>
      <c r="E9" s="13" t="n"/>
      <c r="F9" s="13" t="n"/>
    </row>
    <row r="10" ht="15" customHeight="1">
      <c r="A10" s="11" t="inlineStr">
        <is>
          <t>Fecha</t>
        </is>
      </c>
      <c r="B10" s="17" t="n"/>
      <c r="C10" s="13" t="n"/>
      <c r="D10" s="13" t="n"/>
      <c r="E10" s="13" t="n"/>
      <c r="F10" s="13" t="n"/>
    </row>
    <row r="11" ht="15" customHeight="1">
      <c r="A11" s="11" t="inlineStr">
        <is>
          <t>Prior Reference</t>
        </is>
      </c>
      <c r="B11" s="16" t="n"/>
      <c r="C11" s="13" t="n"/>
      <c r="D11" s="13" t="n"/>
      <c r="E11" s="13" t="n"/>
      <c r="F11" s="13" t="n"/>
    </row>
    <row r="12" ht="45" customHeight="1">
      <c r="A12" s="11" t="inlineStr">
        <is>
          <t>Task Description</t>
        </is>
      </c>
      <c r="B12" s="16" t="n"/>
      <c r="C12" s="13" t="n"/>
      <c r="D12" s="13" t="n"/>
      <c r="E12" s="13" t="n"/>
      <c r="F12" s="13" t="n"/>
    </row>
    <row r="13" ht="45" customHeight="1">
      <c r="A13" s="11" t="inlineStr">
        <is>
          <t>Criterio de Validación</t>
        </is>
      </c>
      <c r="B13" s="16" t="n"/>
      <c r="C13" s="13" t="n"/>
      <c r="D13" s="13" t="n"/>
      <c r="E13" s="13" t="n"/>
      <c r="F13" s="13" t="n"/>
    </row>
    <row r="14">
      <c r="A14" s="18" t="inlineStr">
        <is>
          <t>Las celdas grises se calculan solas: Título, Prioridad, Riesgo y Tiempo estimado se editan en el Índice; Estado y Tiempo total salen de los objetivos.</t>
        </is>
      </c>
    </row>
    <row r="15" ht="20" customHeight="1">
      <c r="A15" s="19" t="inlineStr">
        <is>
          <t>Task Tracking · para añadir un objetivo, escribe en la fila vacía de debajo de la tabla</t>
        </is>
      </c>
    </row>
    <row r="16">
      <c r="A16" s="20" t="inlineStr">
        <is>
          <t>Objetivo</t>
        </is>
      </c>
      <c r="B16" s="20" t="inlineStr">
        <is>
          <t>Descripción</t>
        </is>
      </c>
      <c r="C16" s="20" t="inlineStr">
        <is>
          <t>Finalizado</t>
        </is>
      </c>
      <c r="D16" s="20" t="inlineStr">
        <is>
          <t>Responsable</t>
        </is>
      </c>
      <c r="E16" s="20" t="inlineStr">
        <is>
          <t>Tiempo estimado</t>
        </is>
      </c>
      <c r="F16" s="20" t="inlineStr">
        <is>
          <t>Tiempo total</t>
        </is>
      </c>
    </row>
    <row r="17" ht="15" customHeight="1">
      <c r="A17" s="21">
        <f>IF(Obj_Plantilla[[#This Row],[Descripción]]="","",ROW()-ROW(Obj_Plantilla[[#Headers],[Objetivo]]))</f>
        <v/>
      </c>
      <c r="B17" s="22" t="n"/>
      <c r="C17" s="6" t="n"/>
      <c r="D17" s="6" t="n"/>
      <c r="E17" s="23" t="n"/>
      <c r="F17" s="23" t="n"/>
    </row>
  </sheetData>
  <mergeCells count="15">
    <mergeCell ref="B4:F4"/>
    <mergeCell ref="B12:F12"/>
    <mergeCell ref="B7:F7"/>
    <mergeCell ref="B6:F6"/>
    <mergeCell ref="B2:F2"/>
    <mergeCell ref="A14:F14"/>
    <mergeCell ref="B10:F10"/>
    <mergeCell ref="B11:F11"/>
    <mergeCell ref="B3:F3"/>
    <mergeCell ref="B5:F5"/>
    <mergeCell ref="A15:F15"/>
    <mergeCell ref="A1:E1"/>
    <mergeCell ref="B8:F8"/>
    <mergeCell ref="B9:F9"/>
    <mergeCell ref="B13:F13"/>
  </mergeCells>
  <conditionalFormatting sqref="B4">
    <cfRule type="expression" priority="1" dxfId="6">
      <formula>$B4="En progreso"</formula>
    </cfRule>
    <cfRule type="expression" priority="2" dxfId="7">
      <formula>$B4="En espera"</formula>
    </cfRule>
    <cfRule type="expression" priority="3" dxfId="0">
      <formula>$B4="Finalizada"</formula>
    </cfRule>
    <cfRule type="expression" priority="4" dxfId="5">
      <formula>$B4="Sin página"</formula>
    </cfRule>
  </conditionalFormatting>
  <conditionalFormatting sqref="B5">
    <cfRule type="expression" priority="5" dxfId="5">
      <formula>$B5="I"</formula>
    </cfRule>
    <cfRule type="expression" priority="6" dxfId="2">
      <formula>$B5="N"</formula>
    </cfRule>
    <cfRule type="expression" priority="7" dxfId="0">
      <formula>$B5="M"</formula>
    </cfRule>
  </conditionalFormatting>
  <conditionalFormatting sqref="B6">
    <cfRule type="expression" priority="8" dxfId="0">
      <formula>$B6="Bajo"</formula>
    </cfRule>
    <cfRule type="expression" priority="9" dxfId="1">
      <formula>$B6="Medio bajo"</formula>
    </cfRule>
    <cfRule type="expression" priority="10" dxfId="2">
      <formula>$B6="Medio"</formula>
    </cfRule>
    <cfRule type="expression" priority="11" dxfId="3">
      <formula>$B6="Alto"</formula>
    </cfRule>
    <cfRule type="expression" priority="12" dxfId="4">
      <formula>$B6="Muy alto"</formula>
    </cfRule>
  </conditionalFormatting>
  <conditionalFormatting sqref="C17:C316">
    <cfRule type="expression" priority="13" dxfId="0">
      <formula>$C17="Sí"</formula>
    </cfRule>
    <cfRule type="expression" priority="14" dxfId="5">
      <formula>$C17="No"</formula>
    </cfRule>
  </conditionalFormatting>
  <dataValidations count="3">
    <dataValidation sqref="C17:C316" showDropDown="0" showInputMessage="0" showErrorMessage="1" allowBlank="1" errorTitle="Finalizado" error="Elige Sí o No." type="list">
      <formula1>"Sí,No"</formula1>
    </dataValidation>
    <dataValidation sqref="D17:D316" showDropDown="0" showInputMessage="0" showErrorMessage="1" allowBlank="1" errorTitle="Responsable" error="Ese nombre no está en la lista. ¿Lo dejas igualmente?" type="list" errorStyle="warning">
      <formula1>"Joaquin,Matthew,Jorge,Flavia,Lucia"</formula1>
    </dataValidation>
    <dataValidation sqref="E17:F316" showDropDown="0" showInputMessage="0" showErrorMessage="1" allowBlank="1" errorTitle="Tiempo" error="Escribe solo el número de minutos, por ejemplo 30." type="decimal" operator="greaterThanOrEqual">
      <formula1>0</formula1>
    </dataValidation>
  </dataValidations>
  <hyperlinks>
    <hyperlink ref="F1" location="'Índice'!A1" tooltip="Volver al índice"/>
  </hyperlinks>
  <pageMargins left="0.75" right="0.75" top="1" bottom="1" header="0.5" footer="0.5"/>
  <pageSetup orientation="landscape"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2026-10-02T14:34:46Z</dcterms:created>
  <dcterms:modified xmlns:dcterms="http://purl.org/dc/terms/" xmlns:xsi="http://www.w3.org/2001/XMLSchema-instance" xsi:type="dcterms:W3CDTF">2026-10-02T14:34:46Z</dcterms:modified>
</cp:coreProperties>
</file>