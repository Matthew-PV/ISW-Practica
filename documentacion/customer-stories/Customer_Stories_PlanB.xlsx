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xr:revisionPtr revIDLastSave="0" documentId="8_{275D154C-1B92-4295-9448-5725623C83FE}" xr6:coauthVersionLast="47" xr6:coauthVersionMax="47" xr10:uidLastSave="{00000000-0000-0000-0000-000000000000}"/>
  <bookViews>
    <workbookView xWindow="0" yWindow="0" windowWidth="0" windowHeight="0" firstSheet="62" xr2:uid="{00000000-000D-0000-FFFF-FFFF00000000}"/>
  </bookViews>
  <sheets>
    <sheet name="Índice" sheetId="1" r:id="rId1"/>
    <sheet name="CS-01" sheetId="2" r:id="rId2"/>
    <sheet name="CS-02" sheetId="3" r:id="rId3"/>
    <sheet name="CS-03" sheetId="4" r:id="rId4"/>
    <sheet name="CS-04" sheetId="5" r:id="rId5"/>
    <sheet name="CS-05" sheetId="6" r:id="rId6"/>
    <sheet name="CS-06" sheetId="7" r:id="rId7"/>
    <sheet name="CS-07" sheetId="8" r:id="rId8"/>
    <sheet name="CS-08" sheetId="9" r:id="rId9"/>
    <sheet name="CS-09" sheetId="10" r:id="rId10"/>
    <sheet name="CS-10" sheetId="11" r:id="rId11"/>
    <sheet name="CS-11" sheetId="12" r:id="rId12"/>
    <sheet name="CS-12" sheetId="13" r:id="rId13"/>
    <sheet name="CS-13" sheetId="14" r:id="rId14"/>
    <sheet name="CS-14" sheetId="15" r:id="rId15"/>
    <sheet name="CS-15" sheetId="16" r:id="rId16"/>
    <sheet name="CS-16" sheetId="17" r:id="rId17"/>
    <sheet name="CS-17" sheetId="18" r:id="rId18"/>
    <sheet name="CS-18" sheetId="19" r:id="rId19"/>
    <sheet name="CS-19" sheetId="20" r:id="rId20"/>
    <sheet name="CS-20" sheetId="21" r:id="rId21"/>
    <sheet name="CS-21" sheetId="22" r:id="rId22"/>
    <sheet name="CS-22" sheetId="23" r:id="rId23"/>
    <sheet name="CS-23" sheetId="24" r:id="rId24"/>
    <sheet name="CS-24" sheetId="25" r:id="rId25"/>
    <sheet name="CS-25" sheetId="26" r:id="rId26"/>
    <sheet name="CS-26" sheetId="27" r:id="rId27"/>
    <sheet name="CS-27" sheetId="28" r:id="rId28"/>
    <sheet name="CS-28" sheetId="29" r:id="rId29"/>
    <sheet name="CS-29" sheetId="30" r:id="rId30"/>
    <sheet name="CS-30" sheetId="31" r:id="rId31"/>
    <sheet name="CS-31" sheetId="32" r:id="rId32"/>
    <sheet name="CS-32" sheetId="33" r:id="rId33"/>
    <sheet name="CS-33" sheetId="34" r:id="rId34"/>
    <sheet name="CS-34" sheetId="35" r:id="rId35"/>
    <sheet name="CS-35" sheetId="36" r:id="rId36"/>
    <sheet name="CS-36" sheetId="37" r:id="rId37"/>
    <sheet name="CS-37" sheetId="38" r:id="rId38"/>
    <sheet name="CS-38" sheetId="39" r:id="rId39"/>
    <sheet name="CS-39" sheetId="40" r:id="rId40"/>
    <sheet name="CS-40" sheetId="41" r:id="rId41"/>
    <sheet name="CS-41" sheetId="42" r:id="rId42"/>
    <sheet name="CS-42" sheetId="43" r:id="rId43"/>
    <sheet name="CS-43" sheetId="44" r:id="rId44"/>
    <sheet name="CS-44" sheetId="45" r:id="rId45"/>
    <sheet name="CS-45" sheetId="46" r:id="rId46"/>
    <sheet name="CS-46" sheetId="47" r:id="rId47"/>
    <sheet name="CS-47" sheetId="48" r:id="rId48"/>
    <sheet name="CS-48" sheetId="49" r:id="rId49"/>
    <sheet name="CS-49" sheetId="50" r:id="rId50"/>
    <sheet name="CS-50" sheetId="51" r:id="rId51"/>
    <sheet name="CS-51" sheetId="52" r:id="rId52"/>
    <sheet name="CS-52" sheetId="53" r:id="rId53"/>
    <sheet name="CS-53" sheetId="54" r:id="rId54"/>
    <sheet name="CS-54" sheetId="55" r:id="rId55"/>
    <sheet name="CS-55" sheetId="56" r:id="rId56"/>
    <sheet name="CS-56" sheetId="57" r:id="rId57"/>
    <sheet name="CS-57" sheetId="58" r:id="rId58"/>
    <sheet name="CS-58" sheetId="59" r:id="rId59"/>
    <sheet name="CS-59" sheetId="60" r:id="rId60"/>
    <sheet name="CS-60" sheetId="61" r:id="rId61"/>
    <sheet name="CS-61" sheetId="63" r:id="rId62"/>
    <sheet name="CS-62" sheetId="64" r:id="rId63"/>
    <sheet name="CS-63" sheetId="65" r:id="rId64"/>
    <sheet name="CS-64" sheetId="66" r:id="rId65"/>
    <sheet name="Plantilla" sheetId="62" r:id="rId66"/>
  </sheet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<sst xmlns="http://schemas.openxmlformats.org/spreadsheetml/2006/main" count="2190" uniqueCount="471">
  <si>
    <t>Customer Stories · PlanB</t>
  </si>
  <si>
    <t>Próxima ref.</t>
  </si>
  <si>
    <t>Nueva story: escribe su título en la fila vacía de debajo de la tabla y pulsa «Crear páginas»; se rellenan su referencia y su página. Riesgo, Prioridad y Tiempo estimado (horas) se editan aquí; Tiempo total y Estado se calculan solos a partir de los objetivos de cada página.</t>
  </si>
  <si>
    <t>Ref</t>
  </si>
  <si>
    <t>Título</t>
  </si>
  <si>
    <t>Riesgo</t>
  </si>
  <si>
    <t>Prioridad</t>
  </si>
  <si>
    <t>Tiempo estimado</t>
  </si>
  <si>
    <t>Tiempo total</t>
  </si>
  <si>
    <t>Estado</t>
  </si>
  <si>
    <t>CS-01</t>
  </si>
  <si>
    <t>VALORAR UNA EXPERIENCIA</t>
  </si>
  <si>
    <t>Bajo</t>
  </si>
  <si>
    <t>CS-02</t>
  </si>
  <si>
    <t>COMENTAR Y MARCAR ÚTIL</t>
  </si>
  <si>
    <t>CS-03</t>
  </si>
  <si>
    <t>SEÑALAR INFORMACIÓN DESACTUALIZADA</t>
  </si>
  <si>
    <t>CS-04</t>
  </si>
  <si>
    <t>REPORTAR CONTENIDO</t>
  </si>
  <si>
    <t>N</t>
  </si>
  <si>
    <t>CS-05</t>
  </si>
  <si>
    <t>REVISAR REPORTES PENDIENTES</t>
  </si>
  <si>
    <t>CS-06</t>
  </si>
  <si>
    <t>RETIRAR CONTENIDO Y CERRAR REPORTE</t>
  </si>
  <si>
    <t>IM</t>
  </si>
  <si>
    <t>CS-07</t>
  </si>
  <si>
    <t>AVISOS DE ACTIVIDAD</t>
  </si>
  <si>
    <t>CS-08</t>
  </si>
  <si>
    <t>CONFIGURAR MIS AVISOS</t>
  </si>
  <si>
    <t>CS-09</t>
  </si>
  <si>
    <t>NOVEDADES DE AMIGOS</t>
  </si>
  <si>
    <t>CS-10</t>
  </si>
  <si>
    <t>BÚSQUEDA CON FILTROS COMBINABLES</t>
  </si>
  <si>
    <t>Medio</t>
  </si>
  <si>
    <t>CS-11</t>
  </si>
  <si>
    <t>ORDENACIÓN Y PAGINACIÓN ESTABLE</t>
  </si>
  <si>
    <t>I</t>
  </si>
  <si>
    <t>CS-12</t>
  </si>
  <si>
    <t>AGREGADOS DERIVADOS PARA BÚSQUEDA</t>
  </si>
  <si>
    <t>M</t>
  </si>
  <si>
    <t>CS-13</t>
  </si>
  <si>
    <t>DETECCIÓN DE VALORACIONES SOSPECHOSAS</t>
  </si>
  <si>
    <t>CS-14</t>
  </si>
  <si>
    <t>RESUMEN DE VALORACIONES DE UNA EXPERIENCIA</t>
  </si>
  <si>
    <t>Muy alto</t>
  </si>
  <si>
    <t>CS-15</t>
  </si>
  <si>
    <t>CICLO DE VIDA DEL AVISO DE DATO OBSOLETO</t>
  </si>
  <si>
    <t>CS-16</t>
  </si>
  <si>
    <t>OCULTACIÓN PREVENTIVA POR UMBRAL DE REPORTES</t>
  </si>
  <si>
    <t>CS-17</t>
  </si>
  <si>
    <t>DETECCIÓN AUTOMÁTICA DE PUBLICIDAD ENCUBIERTA</t>
  </si>
  <si>
    <t>Alto</t>
  </si>
  <si>
    <t>CS-18</t>
  </si>
  <si>
    <t>SANCIONES A AUTORES REINCIDENTES</t>
  </si>
  <si>
    <t>CS-19</t>
  </si>
  <si>
    <t>AVISOS DE MODERACIÓN (RETIRADA Y RESOLUCIÓN)</t>
  </si>
  <si>
    <t>CS-20</t>
  </si>
  <si>
    <t>AGRUPACIÓN Y LÍMITE DE FRECUENCIA DE AVISOS</t>
  </si>
  <si>
    <t>CS-21</t>
  </si>
  <si>
    <t>REGISTRO DE DISPOSITIVOS Y PROVEEDOR PUSH</t>
  </si>
  <si>
    <t>CS-22</t>
  </si>
  <si>
    <t>VISIBILIDAD EXPERIENCIAS</t>
  </si>
  <si>
    <t>CS-23</t>
  </si>
  <si>
    <t>PESTAÑA DE BÚSQUEDA</t>
  </si>
  <si>
    <t>CS-24</t>
  </si>
  <si>
    <t>RESULTADO BÚSQUEDA</t>
  </si>
  <si>
    <t>CS-25</t>
  </si>
  <si>
    <t>VISTA RESUMIDA DE EXPERIENCIA</t>
  </si>
  <si>
    <t>CS-26</t>
  </si>
  <si>
    <t>BARRA DE BÚSQUEDA</t>
  </si>
  <si>
    <t>CS-27</t>
  </si>
  <si>
    <t>VISIBILIDAD INICIO</t>
  </si>
  <si>
    <t>CS-28</t>
  </si>
  <si>
    <t>ORDENACIÓN RESULTADOS</t>
  </si>
  <si>
    <t>CS-29</t>
  </si>
  <si>
    <t>RECUPERACIÓN DE BORRADORES</t>
  </si>
  <si>
    <t>CS-30</t>
  </si>
  <si>
    <t>CONTROL DE ACCESO</t>
  </si>
  <si>
    <t>CS-31</t>
  </si>
  <si>
    <t>FILTRO “EXPERIENCIAS DE AMIGOS”</t>
  </si>
  <si>
    <t>CS-32</t>
  </si>
  <si>
    <t>VISTA DETALLADA DE EXPERIENCIA</t>
  </si>
  <si>
    <t>CS-33</t>
  </si>
  <si>
    <t>LIMPIAR BÚSQUEDA</t>
  </si>
  <si>
    <t>CS-34</t>
  </si>
  <si>
    <t>ESTADOS DE “CARGA”, “SIN RESULTADOS” Y “ERROR”</t>
  </si>
  <si>
    <t>CS-35</t>
  </si>
  <si>
    <t>CARGA DE RESULTADOS</t>
  </si>
  <si>
    <t>CS-36</t>
  </si>
  <si>
    <t>ORDENACIÓN POR CERCANÍA</t>
  </si>
  <si>
    <t>CS-37</t>
  </si>
  <si>
    <t>COMPARTIR UNA EXPERIENCIA MEDIANTE UN ENLACE</t>
  </si>
  <si>
    <t>CS-38</t>
  </si>
  <si>
    <t>COMPARTIR MEDIANTE OTRAS APLICACIONES</t>
  </si>
  <si>
    <t>CS-39</t>
  </si>
  <si>
    <t>RECOMENDACIONES SEGÚN LA CIUDAD</t>
  </si>
  <si>
    <t>CS-40</t>
  </si>
  <si>
    <t>RECOMENDACIONES SEGÚN MIS GUSTOS</t>
  </si>
  <si>
    <t>CS-41</t>
  </si>
  <si>
    <t>EXPERIENCIAS SIMILARES A LAS GUARDADAS</t>
  </si>
  <si>
    <t>CS-42</t>
  </si>
  <si>
    <t>RECOMENDACIONES SEGÚN MIS VALORACIONES</t>
  </si>
  <si>
    <t>CS-43</t>
  </si>
  <si>
    <t>MIS GUARDADOS</t>
  </si>
  <si>
    <t>CS-44</t>
  </si>
  <si>
    <t>MIS EXPERIENCIAS PUBLICADAS EN EL PERFIL</t>
  </si>
  <si>
    <t>CS-45</t>
  </si>
  <si>
    <t>MI NÚMERO DE AMIGOS Y SEGUIDORES</t>
  </si>
  <si>
    <t>CS-46</t>
  </si>
  <si>
    <t>MIS CIUDADES</t>
  </si>
  <si>
    <t>CS-47</t>
  </si>
  <si>
    <t>CREAR MI PERFIL</t>
  </si>
  <si>
    <t>CS-48</t>
  </si>
  <si>
    <t>VALORACIONES DE MIS AMIGOS Y SEGUIDORES</t>
  </si>
  <si>
    <t>CS-49</t>
  </si>
  <si>
    <t>CREACIÓN DE EXPERIENCIAS</t>
  </si>
  <si>
    <t>Medio bajo</t>
  </si>
  <si>
    <t>CS-50</t>
  </si>
  <si>
    <t>LUGARES DE LA EXPERIENCIA</t>
  </si>
  <si>
    <t>CS-51</t>
  </si>
  <si>
    <t>ITINERARIO DE EXPERIENCIAS</t>
  </si>
  <si>
    <t>CS-52</t>
  </si>
  <si>
    <t>FOTOS Y COMENTARIOS DE LUGARES</t>
  </si>
  <si>
    <t>CS-53</t>
  </si>
  <si>
    <t>DURACIÓN Y TARIFA DE LA EXPERIENCIA</t>
  </si>
  <si>
    <t>CS-54</t>
  </si>
  <si>
    <t>EVENTOS DE UN LUGAR</t>
  </si>
  <si>
    <t>CS-55</t>
  </si>
  <si>
    <t>CATEGORÍA DE LA EXPERIENCIA</t>
  </si>
  <si>
    <t>CS-56</t>
  </si>
  <si>
    <t>MOMENTO RECOMENDADO DE LA EXPERIENCIA</t>
  </si>
  <si>
    <t>CS-57</t>
  </si>
  <si>
    <t>EDICIÓN DE EXPERIENCIA</t>
  </si>
  <si>
    <t>CS-58</t>
  </si>
  <si>
    <t>TRANSPORTE PÚBLICO DE LA EXPERIENCIA</t>
  </si>
  <si>
    <t>CS-59</t>
  </si>
  <si>
    <t>CREAR UNA CUENTA</t>
  </si>
  <si>
    <t>CS-60</t>
  </si>
  <si>
    <t>ORGANIZACIÓN INTERNA</t>
  </si>
  <si>
    <t>CS-61</t>
  </si>
  <si>
    <t>AMISTADES Y SEGUIDORES</t>
  </si>
  <si>
    <t>CS-62</t>
  </si>
  <si>
    <t>PERFIL DE OTRO USUARIO</t>
  </si>
  <si>
    <t>CS-63</t>
  </si>
  <si>
    <t>PANTALLA DE VALORACIONES Y COMENTARIOS</t>
  </si>
  <si>
    <t>CS-64</t>
  </si>
  <si>
    <t>CONTRASEÑA SEGURA</t>
  </si>
  <si>
    <t>↑ Índice</t>
  </si>
  <si>
    <t>Propietario</t>
  </si>
  <si>
    <t>Joaquin</t>
  </si>
  <si>
    <t>Fecha</t>
  </si>
  <si>
    <t>Prior Reference</t>
  </si>
  <si>
    <t>CS-22;CS-61;CS-30</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</si>
  <si>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</si>
  <si>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(CS-12) y avisar al autor (CS-07).</t>
  </si>
  <si>
    <t>Criterio de Validación</t>
  </si>
  <si>
    <t xml:space="preserve">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t>
  </si>
  <si>
    <t>Las celdas grises se calculan solas: Título, Prioridad, Riesgo y Tiempo estimado se editan en el Índice; Estado y Tiempo total salen de los objetivos. La fila «Total» del final de la tabla suma los minutos de los objetivos y no cuenta como objetivo. Para añadir un objetivo, haz clic en la última celda de la tabla (columna Tiempo total, justo encima de «Total») y pulsa Tab: aparece una fila nueva encima del total. También sirve clic derecho en una fila de la tabla → Insertar → Filas de tabla encima.</t>
  </si>
  <si>
    <t>Task Tracking · para añadir un objetivo, pulsa Tab en la última celda de la tabla, justo encima de «Total»</t>
  </si>
  <si>
    <t>Objetivo</t>
  </si>
  <si>
    <t>Descripción</t>
  </si>
  <si>
    <t>Finalizado</t>
  </si>
  <si>
    <t>Responsable</t>
  </si>
  <si>
    <t>Objetivo 1</t>
  </si>
  <si>
    <t>Definir y documentar el rango permitido de puntuación y si admite valores decimales.</t>
  </si>
  <si>
    <t>Sí</t>
  </si>
  <si>
    <t>Objetivo 2</t>
  </si>
  <si>
    <t>Escribir primero las pruebas de servicio y API para crear y modificar una valoración, comprobando inicialmente que fallan porque la funcionalidad todavía no existe.</t>
  </si>
  <si>
    <t>Objetivo 3</t>
  </si>
  <si>
    <t>Crear la entidad Valoración con usuario, experiencia, puntuación, comentario opcional y fechas de creación y modificación.</t>
  </si>
  <si>
    <t>Objetivo 4</t>
  </si>
  <si>
    <t>Crear la migración de Prisma con relaciones hacia Usuario y Experiencia y una restricción única para la pareja usuario–experiencia.</t>
  </si>
  <si>
    <t>Objetivo 5</t>
  </si>
  <si>
    <t>Crear el repositorio de valoraciones con una operación atómica que cree la valoración o actualice la existente sin generar duplicados.</t>
  </si>
  <si>
    <t>Objetivo 6</t>
  </si>
  <si>
    <t>Crear o reutilizar la comprobación de visibilidad: permitir experiencias públicas, privadas propias y de amigos con amistad aceptada; seguir a alguien no concede acceso.</t>
  </si>
  <si>
    <t>Objetivo 7</t>
  </si>
  <si>
    <t>Crear el servicio que valide la puntuación y el comentario, compruebe que la experiencia existe y es visible, y coordine el repositorio.</t>
  </si>
  <si>
    <t>Objetivo 8</t>
  </si>
  <si>
    <t>Crear la ruta autenticada de alta y edición, tomando siempre el usuario de la sesión y nunca del cuerpo de la petición.</t>
  </si>
  <si>
    <t>Objetivo 9</t>
  </si>
  <si>
    <t>Probar que una segunda valoración del mismo usuario y experiencia actualiza la anterior, que una puntuación inválida no guarda nada y que una experiencia no visible devuelve un error.</t>
  </si>
  <si>
    <t>Objetivo 10</t>
  </si>
  <si>
    <t>Comprobar con MySQL que la restricción única impide duplicados incluso ante peticiones simultáneas y ejecutar después toda la batería de pruebas.</t>
  </si>
  <si>
    <t>Sec. 6.8 / CS-01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</si>
  <si>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(CS-04).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</si>
  <si>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(CS-04).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</si>
  <si>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</si>
  <si>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(CS-07).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</si>
  <si>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(CS-07).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</si>
  <si>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</si>
  <si>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</si>
  <si>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</si>
  <si>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CS-04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</si>
  <si>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</si>
  <si>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</si>
  <si>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CS-05</t>
  </si>
  <si>
    <t>Operación de moderación que marca el contenido reportado como retirado (borrado lógico con motivo, moderador y fecha, sin borrado físico), lo excluye de búsqueda (CS-10), perfil y guardados, y pasa el Reporte a resuelto o descartado en una misma transacción. Debe ser reversible y disparar el recálculo de agregados (CS-12).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</si>
  <si>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(CS-10), en el perfil del autor ni en los listados. Si el moderador revierte la retirada, el contenido vuelve a ser visible y se recalculan los agregados (CS-12). Si un usuario sin rol de moderador puede ejecutar la operación, no está completa.</t>
  </si>
  <si>
    <t>Sec. 6.10 / CS-01, CS-02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</si>
  <si>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(CS-08).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</si>
  <si>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(CS-08), no se crea. Si el envío push falla, se reintenta desde la cola y el aviso sigue disponible dentro de la app. Si un mismo evento genera dos avisos iguales, no está completa.</t>
  </si>
  <si>
    <t>Sec. 6.10 / CS-07</t>
  </si>
  <si>
    <t>Añadir a los ajustes del usuario un conjunto de preferencias de notificación por tipo (amistad, comentario, valoración, novedad de amigo) y, si procede, por canal. Endpoints de lectura y actualización. El servicio de notificaciones (CS-07)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</si>
  <si>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</si>
  <si>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</si>
  <si>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</si>
  <si>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</si>
  <si>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</si>
  <si>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(CS-06)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</si>
  <si>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(CS-06). Si no hay coincidencias, devuelve una lista vacía sin error. La respuesta es paginada y pedir la página siguiente no repite resultados. Si un resultado incumple algún filtro o la visibilidad, no está completa.</t>
  </si>
  <si>
    <t>Sec. 6.5 / CS-10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</si>
  <si>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</si>
  <si>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</si>
  <si>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CS-01, CS-10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</si>
  <si>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</si>
  <si>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</si>
  <si>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CS-01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</si>
  <si>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(CS-12) y se envían a la cola de moderación (CS-05).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</si>
  <si>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(CS-12) y aparece en la cola de moderación (CS-05). Una valoración normal de una cuenta con historial no se marca. Si moderación corrige el indicador, se recalculan los agregados. Si una sospechosa se borra o sigue contando en la media, no está completa.</t>
  </si>
  <si>
    <t>Sec. 6.8 / CS-01, CS-02, CS-12</t>
  </si>
  <si>
    <t>Endpoint de solo lectura con el resumen de valoración de una experiencia: media, número de valoraciones, distribución por puntuación, número de comentarios y de avisos de dato obsoleto abiertos (CS-03). Media y número salen de los agregados de CS-12,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</si>
  <si>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CS-12. Si la experiencia no es visible para mí, recibo un error de permisos. En una experiencia sin valoraciones devuelve ceros y no da error. Tras crear una valoración, la cifra nueva aparece en cuanto vence la caché. Si alguna cifra no coincide, no está completa.</t>
  </si>
  <si>
    <t>Sec. 6.8 / CS-03, CS-07</t>
  </si>
  <si>
    <t>Definir los estados del Aviso de dato obsoleto (abierto, corregido, descartado, caducado) y sus transiciones. El autor lo marca como corregido tras editar el elemento afectado y al cerrarse se avisa a quienes lo señalaron (CS-07).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</si>
  <si>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(CS-07).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</si>
  <si>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CS-04, CS-05</t>
  </si>
  <si>
    <t>Regla que, cuando un contenido acumula N reportes abiertos de usuarios distintos, cambia su estado a 'en revisión' y lo excluye de búsqueda (CS-10) y de listados hasta que moderación decide (CS-06). El umbral N es configurable, se cuenta por usuarios únicos y la ocultación es reversible.</t>
  </si>
  <si>
    <t>Si un contenido acumula N reportes abiertos de usuarios distintos, pasa a 'en revisión' y desaparece de la búsqueda (CS-10) y de los listados. Si un mismo usuario reporta varias veces, cuenta una sola, y con N-1 reportes el contenido sigue visible. El valor de N se cambia por configuración sin modificar el código. Cuando moderación resuelve, el contenido vuelve a ser visible o pasa a retirado (CS-06) según la decisión, sin perder datos. Si la ocultación no es reversible, o se activa con reportes repetidos de un mismo usuario, no está completa.</t>
  </si>
  <si>
    <t>Sec. 6.9 / Sec. 11, CS-04</t>
  </si>
  <si>
    <t>Filtro sobre el texto de experiencias y comentarios al publicar o editar: detecta URLs, teléfonos, códigos promocionales y textos repetidos entre cuentas nuevas. Si hay coincidencia no bloquea: crea un Reporte de origen 'automático' en la cola de moderación (CS-05)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</si>
  <si>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(CS-05).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</si>
  <si>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CS-06, Sec. 11</t>
  </si>
  <si>
    <t>Registrar por usuario los contenidos retirados por moderación (CS-06)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</si>
  <si>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(CS-06),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</si>
  <si>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CS-06, CS-08</t>
  </si>
  <si>
    <t>Ampliar el catálogo de tipos de Notificación con 'contenido retirado' (al autor, con el motivo) y 'reporte resuelto' (a quien reportó), emitidos como eventos al cerrar un reporte en CS-06. Permitir marcar un tipo como obligatorio en las preferencias (CS-08). El motivo es un texto predefinido y nunca incluye datos de quien reportó.</t>
  </si>
  <si>
    <t>Si un moderador retira un contenido al cerrar un reporte (CS-06),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(CS-08), el usuario no puede desactivarlo. Si el reporte se descarta, no se avisa de ninguna retirada. Si un aviso muestra datos de quien reportó o se puede desactivar un tipo obligatorio, no está completa.</t>
  </si>
  <si>
    <t>Sec. 6.10 / CS-07, CS-09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</si>
  <si>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</si>
  <si>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</si>
  <si>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CS-07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</si>
  <si>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</si>
  <si>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</si>
  <si>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</si>
  <si>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</si>
  <si>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</si>
  <si>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Crear las pruebas de backend para la visibilidad al crear y editar experiencias.</t>
  </si>
  <si>
    <t>Añadir a Experiencia el campo de visibilidad con los valores «privada», «amigos» y «pública», usando «privada» como valor inicial seguro.</t>
  </si>
  <si>
    <t>Crear la migración de Prisma conservando las experiencias existentes como publicas.</t>
  </si>
  <si>
    <t>Validar y guardar la visibilidad en los servicios y repositorios de creación y edición.</t>
  </si>
  <si>
    <t>Crear las pruebas de pantalla para el selector de visibilidad en el formulario.</t>
  </si>
  <si>
    <t>Añadir al formulario el selector con las opciones «Privada», «Amigos» y «Pública».</t>
  </si>
  <si>
    <t>Cargar la visibilidad actual al editar, enviarla al guardar y comprobar que se conserva después de recargar.</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</si>
  <si>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</si>
  <si>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</si>
  <si>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</si>
  <si>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</si>
  <si>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</si>
  <si>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</si>
  <si>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</si>
  <si>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</si>
  <si>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</si>
  <si>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</si>
  <si>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</si>
  <si>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</si>
  <si>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</si>
  <si>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</si>
  <si>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</si>
  <si>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</si>
  <si>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Definir los casos de acceso a una experiencia: el autor siempre puede verla; cualquier usuario puede ver una pública; solo un amigo con amistad aceptada puede ver una de nivel “amigos”; y otro usuario no puede ver una privada.</t>
  </si>
  <si>
    <t>Escribir primero las pruebas unitarias de la regla de visibilidad, incluyendo autor, pública, privada, amistad aceptada, solicitud pendiente, amistad eliminada y seguimiento sin amistad.</t>
  </si>
  <si>
    <t>Crear un servicio compartido de visibilidad de experiencias que aplique esas reglas reutilizando la comprobación de amistad de CS-61, sin acceder directamente a Prisma.</t>
  </si>
  <si>
    <t>Crear en el servicio de experiencias la operación para obtener una experiencia por su identificador y comprobar su visibilidad antes de devolver sus datos.</t>
  </si>
  <si>
    <t>Responder con el mismo mensaje “Contenido no disponible” cuando la experiencia no exista o el usuario no pueda verla, sin devolver título, autor, ciudad ni ningún otro dato.</t>
  </si>
  <si>
    <t>Crear la ruta autenticada GET /api/experiencias/:id, limitada a recibir la petición y llamar al servicio de experiencias.</t>
  </si>
  <si>
    <t>Crear las pruebas de API para una experiencia pública, una privada propia, una privada ajena, una experiencia para amigos con solicitud pendiente y otra con amistad aceptada.</t>
  </si>
  <si>
    <t>Probar que los permisos se consultan de nuevo en cada petición: pública que pasa a privada, amistad aceptada que se elimina y solicitud pendiente que posteriormente se acepta.</t>
  </si>
  <si>
    <t>Integrar la respuesta “Contenido no disponible” en experiencia.html, coordinándolo con CS-63, y garantizar que la pantalla no muestra información anterior de la experiencia cuando se deniega el acceso.</t>
  </si>
  <si>
    <t>Crear las pruebas de pantalla correspondientes, comprobar manualmente el comportamiento con dos usuarios y ejecutar después toda la batería de pruebas.</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</si>
  <si>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</si>
  <si>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</si>
  <si>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</si>
  <si>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</si>
  <si>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</si>
  <si>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</si>
  <si>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</si>
  <si>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</si>
  <si>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</si>
  <si>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</si>
  <si>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</si>
  <si>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</si>
  <si>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</si>
  <si>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</si>
  <si>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</si>
  <si>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</si>
  <si>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</si>
  <si>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</si>
  <si>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</si>
  <si>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</si>
  <si>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</si>
  <si>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</si>
  <si>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</si>
  <si>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</si>
  <si>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</si>
  <si>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</si>
  <si>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</si>
  <si>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</si>
  <si>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</si>
  <si>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</si>
  <si>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</si>
  <si>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</si>
  <si>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</si>
  <si>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</si>
  <si>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Crear primero las pruebas de backend para los contadores y listados de amigos y seguidores.</t>
  </si>
  <si>
    <t>Lucia</t>
  </si>
  <si>
    <t>Añadir al repositorio las consultas que cuentan amistades aceptadas y seguidores recibidos directamente desde las relaciones de CS-61.</t>
  </si>
  <si>
    <t>Añadir las consultas paginadas de amigos y seguidores, sin usuarios repetidos y sin devolver emails ni otros datos privados.</t>
  </si>
  <si>
    <t>Crear el servicio que valida la paginación y devuelve los contadores y listados del usuario.</t>
  </si>
  <si>
    <t>Crear las rutas protegidas para consultar el resumen, los amigos y los seguidores del perfil propio.</t>
  </si>
  <si>
    <t>Probar que las solicitudes pendientes o rechazadas no cuentan, que un usuario sin relaciones obtiene cero y que los resultados cambian al aceptar, eliminar, seguir o dejar de seguir.</t>
  </si>
  <si>
    <t>Crear primero las pruebas de pantalla para los contadores, los listados, la paginación y los estados vacíos.</t>
  </si>
  <si>
    <t>Añadir al perfil los contadores de amigos y seguidores y los listados paginados de ambos.</t>
  </si>
  <si>
    <t>Conectar la pantalla con la API, permitir cargar más resultados sin repetir usuarios y mostrar los errores de forma comprensible.</t>
  </si>
  <si>
    <t>Ejecutar las pruebas específicas y toda la batería, y comprobar manualmente los cambios de los contadores desde dos usuarios.</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</si>
  <si>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</si>
  <si>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</si>
  <si>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</si>
  <si>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</si>
  <si>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Añadir campo nombreUsuario a la entidad Usuario, único</t>
  </si>
  <si>
    <t>Validar longitud y caracteres permitidos del nombre de usuario</t>
  </si>
  <si>
    <t>Añadir campo foto a la entidad Usuario</t>
  </si>
  <si>
    <t>Función para subir la foto (validar formato JPG/PNG/WebP y tamaño máximo)</t>
  </si>
  <si>
    <t>Guardar la foto fuera de la base de datos (Cloudinary) y solo su URL en el perfil</t>
  </si>
  <si>
    <t>Mostrar imagen por defecto si no hay foto</t>
  </si>
  <si>
    <t>Función para crear el perfil</t>
  </si>
  <si>
    <t>Función para editar el perfil (solo el propio usuario)</t>
  </si>
  <si>
    <t>Función para consultar el perfil propio</t>
  </si>
  <si>
    <t>Probar los casos del criterio de validación (nombre duplicado, foto inválida, edición reflejada)</t>
  </si>
  <si>
    <t>Pantalla de perfil en el frontend</t>
  </si>
  <si>
    <t>CS-01;CS-61;CS-30;CS-63</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</si>
  <si>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</si>
  <si>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</si>
  <si>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Crear primero las pruebas de backend con valoraciones de amigos, seguidores y usuarios sin relación, comprobando inicialmente que la consulta todavía falla.</t>
  </si>
  <si>
    <t>Añadir al repositorio una consulta paginada que devuelva las valoraciones de amigos con amistad aceptada y de personas que siguen al solicitante.</t>
  </si>
  <si>
    <t>Evitar resultados duplicados cuando una persona sea simultáneamente amiga y seguidora, y ordenar la paginación de forma estable.</t>
  </si>
  <si>
    <t>Crear el servicio que valide la experiencia y la paginación, compruebe primero su visibilidad y devuelva únicamente puntuación, comentario, fecha y datos públicos del autor.</t>
  </si>
  <si>
    <t>Crear una ruta protegida para consultar las valoraciones de amigos y seguidores de una experiencia.</t>
  </si>
  <si>
    <t>Probar que una experiencia no visible devuelve un error de permisos, que los usuarios sin relación quedan excluidos y que la ausencia de resultados devuelve una lista vacía.</t>
  </si>
  <si>
    <t>Crear primero las pruebas de pantalla para la sección diferenciada, el estado vacío, la paginación y los errores.</t>
  </si>
  <si>
    <t>Añadir en el detalle de la experiencia una sección propia para las valoraciones de amigos y seguidores, separada del listado general.</t>
  </si>
  <si>
    <t>Conectar la sección con la API y permitir cargar más resultados sin repetir ni omitir valoraciones.</t>
  </si>
  <si>
    <t>Comprobar que una valoración nueva aparece al recargar, ejecutar las pruebas específicas y toda la batería, y revisar la pantalla en escritorio y móvil.</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</si>
  <si>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</si>
  <si>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</si>
  <si>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Crear la entidad Experiencia (título, descripción, ciudad, tipo, momento adecuado)</t>
  </si>
  <si>
    <t>Relacionar cada experiencia con una única ciudad</t>
  </si>
  <si>
    <t>Validar que los campos obligatorios estén presentes al crear</t>
  </si>
  <si>
    <t>Función para crear una experiencia</t>
  </si>
  <si>
    <t>Creación del primer catálogo de ciudades</t>
  </si>
  <si>
    <t>Rechazar la creación si falta algún campo obligatorio</t>
  </si>
  <si>
    <t>Probar que la experiencia queda asociada solo a su ciudad</t>
  </si>
  <si>
    <t>Probar el caso de creación con datos válidos</t>
  </si>
  <si>
    <t>Pantalla para crear experiencias en el frontend (botón «+» en la bienvenida)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</si>
  <si>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</si>
  <si>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</si>
  <si>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</si>
  <si>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</si>
  <si>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</si>
  <si>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</si>
  <si>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</si>
  <si>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</si>
  <si>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</si>
  <si>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</si>
  <si>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</si>
  <si>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</si>
  <si>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</si>
  <si>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</si>
  <si>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</si>
  <si>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</si>
  <si>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Crear la función de edición de una experiencia</t>
  </si>
  <si>
    <t>Permitir modificar título, categoría y otros campos</t>
  </si>
  <si>
    <t>Mantener la restricción de una única ciudad al editar</t>
  </si>
  <si>
    <t>Rechazar el cambio de ciudad si es incompatible con los lugares ya existentes</t>
  </si>
  <si>
    <t>No</t>
  </si>
  <si>
    <t>Restringir la edición solo al autor de la experiencia</t>
  </si>
  <si>
    <t>Probar que un usuario no autor no puede editar</t>
  </si>
  <si>
    <t>Probar que los cambios sustituyen correctamente a los datos anteriores</t>
  </si>
  <si>
    <t>Pantalla para editar experiencias en el frontend (pulsando su tarjeta en la bienvenida)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</si>
  <si>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</si>
  <si>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</si>
  <si>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Como visitante, quiero crear una cuenta con un nombre de usuario, un email y una contraseña para acceder a PlanB. El registro debe comprobar los datos en el servidor, verificar el CAPTCHA de Cloudflare Turnstile, crear una sesión y comunicar de forma visible si la operación está en curso, termina correctamente o falla.</t>
  </si>
  <si>
    <t>Con datos válidos y el CAPTCHA superado, se crea una sola cuenta, se inicia la sesión y se abre la bienvenida. Si el nombre o el email ya existen, los datos no son válidos, falla la red o el CAPTCHA no carga o no puede verificarse, se muestra un mensaje claro y se puede volver a intentar. Mientras se procesa la petición, el botón impide envíos duplicados e indica que el registro está en curso. Tras cualquier error, el botón vuelve a quedar disponible. Si el formulario queda bloqueado o falla sin feedback visible, la historia no está completa.</t>
  </si>
  <si>
    <t>Mostrar el formulario con nombre de usuario, email y contraseña, con validaciones HTML básicas</t>
  </si>
  <si>
    <t>Validar los datos en el backend y rechazar nombres o emails duplicados sin crear la cuenta</t>
  </si>
  <si>
    <t>Verificar el CAPTCHA de Turnstile en el servidor antes de consultar o guardar usuarios</t>
  </si>
  <si>
    <t>Crear la cuenta, iniciar la sesión y abrir la bienvenida cuando el registro termina correctamente</t>
  </si>
  <si>
    <t>Mostrar un mensaje visible ante errores de validación, red o carga y configuración del CAPTCHA</t>
  </si>
  <si>
    <t>Indicar que el registro está en curso, impedir envíos duplicados y reactivar el botón tras cualquier error</t>
  </si>
  <si>
    <t>Probar registro correcto, datos inválidos, duplicados, fallo de red, CAPTCHA no disponible y reintento</t>
  </si>
  <si>
    <t>Registra cada cambio en la forma de trabajo, o metodología, del equipo.</t>
  </si>
  <si>
    <t>Modificación de la metodología tras la primera revisión de cliente el 02/10/2026.</t>
  </si>
  <si>
    <t>Creación de las nuevas CS-61 - CS-64</t>
  </si>
  <si>
    <t>Asignación de tareas a:
CS-22: Visibilidad de experiencias (solo el campo y el selector)
CS-45: Mi número de amigos y seguidores
CS-01: Valorar una experiencia (sin avisos ni valoración media)
CS-48: Valoraciones de mis amigos y seguidores</t>
  </si>
  <si>
    <t>Corrección Dependencias nuevas CS 05/10/2026</t>
  </si>
  <si>
    <t>Asignación de tareas a CS-30</t>
  </si>
  <si>
    <t>CS-45, CS-48, CS-27, CS-30, CS-31</t>
  </si>
  <si>
    <t>Como usuario, quiero buscar a otras personas por su nombre de usuario, enviarles una solicitud de amistad que puedan aceptar o rechazar, eliminar una amistad y seguir o dejar de seguir a alguien. La amistad es mutua y necesita aceptación; seguir es en un solo sentido, no necesita aceptación y no da acceso a las experiencias de nivel «amigos». Incluye la pantalla «Buscar personas», cuyos resultados enlazan al perfil de cada usuario (CS-62), y la sección «Solicitudes recibidas» de mi perfil. Es la base de CS-09, CS-22, CS-27, CS-30, CS-31, CS-45 y CS-48.</t>
  </si>
  <si>
    <t>Al buscar un texto aparecen como máximo 20 usuarios cuyo nombre lo contiene, sin distinguir mayúsculas, sin mostrar su email y sin incluirme a mí. Al enviar una solicitud queda pendiente y aparece en las «Solicitudes recibidas» del destinatario; no puedo enviármela a mí mismo ni enviar otra si ya hay una pendiente o una amistad entre los dos, en cualquier sentido. Solo el destinatario puede aceptarla o rechazarla: al aceptar, los dos pasamos a ser amigos; al rechazar, la solicitud desaparece y puede volver a enviarse. Cualquiera de los dos puede eliminar la amistad, que deja de existir para ambos. Seguir a alguien se aplica al momento, sin aceptación, no puede repetirse ni hacerse a uno mismo y no cuenta como amistad. Sin sesión, todas las operaciones responden 401. Si una solicitud pendiente cuenta como amistad o alguien distinto del destinatario puede aceptarla, no está completa.</t>
  </si>
  <si>
    <t>Modelo Amistad (solicitante, destinatario, estado pendiente o aceptada, fecha) con un único registro por pareja y su migración</t>
  </si>
  <si>
    <t>Modelo Seguimiento (seguidor, seguido, fecha) con un único registro por pareja y su migración</t>
  </si>
  <si>
    <t>amistadRepository: crear, buscar la relación entre dos usuarios en ambos sentidos, aceptar, borrar y listar solicitudes recibidas</t>
  </si>
  <si>
    <t>seguimientoRepository: seguir, dejar de seguir y comprobar si uno sigue a otro</t>
  </si>
  <si>
    <t>Buscar usuarios por nombre en usuarioRepository (contiene el texto, máximo 20, sin email)</t>
  </si>
  <si>
    <t>Servicio: enviar solicitud (usuario existente, no a uno mismo, sin pendiente ni amistad previa en ningún sentido)</t>
  </si>
  <si>
    <t>Servicio: aceptar o rechazar solo por el destinatario y eliminar la amistad por cualquiera de los dos</t>
  </si>
  <si>
    <t>Servicio: seguir y dejar de seguir (no a uno mismo, sin duplicados)</t>
  </si>
  <si>
    <t>Servicio: función sonAmigos(a, b) que solo cuenta amistades aceptadas, para reutilizarla en CS-30, CS-44 y CS-48</t>
  </si>
  <si>
    <t>Rutas /api/usuarios (búsqueda), /api/amistades y /api/seguimientos, todas con requiereSesion</t>
  </si>
  <si>
    <t>Pruebas de API de cada caso del criterio (pendiente, duplicados, permisos al aceptar, rechazo, eliminación, seguir y 401)</t>
  </si>
  <si>
    <t>Pantalla personas.html con buscador y resultados que enlazan al perfil de cada usuario (CS-62)</t>
  </si>
  <si>
    <t>Sección «Solicitudes recibidas» en perfil.html con botones Aceptar y Rechazar</t>
  </si>
  <si>
    <t>Enlace «Buscar personas» en la barra de navegación</t>
  </si>
  <si>
    <t>Pruebas de pantalla con jsdom: búsqueda, sin resultados, aceptar y rechazar</t>
  </si>
  <si>
    <t>Comprobación manual en escritorio y móvil</t>
  </si>
  <si>
    <t>CS-61;CS-44;CS-45;CS-22</t>
  </si>
  <si>
    <t>Como usuario, quiero abrir el perfil de otra persona desde la búsqueda de personas o desde el autor de una experiencia y ver su nombre de usuario, su foto, su ciudad, su número de amigos y seguidores y las experiencias suyas que tengo permiso para ver. Desde su perfil puedo enviarle una solicitud de amistad, aceptar la que me haya enviado, eliminar la amistad y seguirla o dejar de seguirla. El perfil ajeno nunca muestra el email ni otros datos privados.</t>
  </si>
  <si>
    <t>Al abrir el perfil de otro usuario veo su nombre, su foto (o la imagen por defecto), su ciudad y sus contadores de amigos y seguidores, que coinciden con los de CS-45; la respuesta nunca incluye su email. El botón de amistad corresponde a la relación real: «Añadir amigo» si no hay ninguna, «Solicitud enviada» si está pendiente, «Aceptar» y «Rechazar» si me la ha enviado él, y «Eliminar amigo», con confirmación, si somos amigos. El botón «Seguir» o «Dejar de seguir» corresponde a si ya lo sigo. Tras pulsar cualquiera de ellos, el botón y los contadores se actualizan sin recargar la página y siguen igual al recargarla. Solo aparecen sus experiencias públicas y, si somos amigos, también las de nivel «amigos»; nunca las privadas. Si el usuario no existe veo «Usuario no encontrado», y si abro mi propio nombre voy a mi perfil. Si se muestra el email o una experiencia que no puedo ver, no está completa.</t>
  </si>
  <si>
    <t>Obtener en usuarioRepository el perfil público por nombre de usuario (sin email)</t>
  </si>
  <si>
    <t>Servicio de perfil público: datos, contadores de amigos y seguidores y relación con quien lo consulta; 404 si no existe</t>
  </si>
  <si>
    <t>Ruta GET /api/usuarios/:nombreUsuario con requiereSesion</t>
  </si>
  <si>
    <t>Pruebas de API: sin email, 404 y relación en cada estado (ninguna, enviada, recibida, amigos, siguiendo)</t>
  </si>
  <si>
    <t>Página usuario.html con foto (o imagen por defecto), nombre, ciudad y contadores</t>
  </si>
  <si>
    <t>Botón de amistad según la relación, con confirmación antes de eliminar, usando las rutas de CS-61</t>
  </si>
  <si>
    <t>Botón Seguir / Dejar de seguir</t>
  </si>
  <si>
    <t>Listado de sus experiencias visibles para mí, con la función de CS-44</t>
  </si>
  <si>
    <t>Mensaje «Usuario no encontrado» y redirección a perfil.html si es mi propio nombre</t>
  </si>
  <si>
    <t>Enlazar al perfil desde la búsqueda de personas (CS-61) y desde el autor de cada experiencia</t>
  </si>
  <si>
    <t>Pruebas de pantalla con jsdom: botones según la relación, cambio tras pulsar, usuario inexistente y perfil propio</t>
  </si>
  <si>
    <t>CS-01;CS-02;CS-62;CS-30</t>
  </si>
  <si>
    <t>Como usuario, en la página de una experiencia quiero ver sus valoraciones y comentarios, puntuarla con un comentario opcional, cambiar mi valoración, marcar como útil el comentario de otra persona y reportar un comentario. Es la pantalla de CS-01, CS-02 y CS-04, que solo definen el backend. Incluye una página experiencia.html mínima (título, autor y ciudad) que CS-32 ampliará con la vista detallada.</t>
  </si>
  <si>
    <t>Al abrir una experiencia que puedo ver aparece la lista de comentarios con el autor, enlazado a su perfil (CS-62), la puntuación, el texto y la fecha; con «Cargar más» se añaden los siguientes sin repetir ninguno. Si no hay ninguno, se indica «Todavía no hay valoraciones». El formulario no se envía sin una puntuación dentro del rango de CS-01 y avisa antes de superar la longitud máxima del comentario de CS-02. Si ya la había valorado, el formulario aparece con mi valoración y al guardar se actualiza, sin crear otra. Un comentario con HTML se muestra como texto. Puedo marcar y desmarcar «Útil» en comentarios ajenos, pero no en el mío, y el contador cambia en uno. Al reportar elijo uno de los motivos de CS-04 y veo una confirmación; si ya lo había reportado, se me indica. Si la experiencia no es visible para mí, veo «Contenido no disponible» sin ningún dato (CS-30). Si falla la red, se muestra un error y no se pierde lo escrito. Si falla alguna de estas comprobaciones, no está completa.</t>
  </si>
  <si>
    <t>Ruta GET /api/experiencias/:id que devuelve la experiencia solo si el usuario puede verla (base de CS-30 y CS-32)</t>
  </si>
  <si>
    <t>Pruebas de API de esa ruta: visible, no visible e inexistente</t>
  </si>
  <si>
    <t>Página experiencia.html con título, autor y ciudad, abierta desde las tarjetas de la bienvenida</t>
  </si>
  <si>
    <t>Lista de comentarios con autor, puntuación, texto y fecha, insertados con textContent, y botón «Cargar más»</t>
  </si>
  <si>
    <t>Formulario de valoración: puntuación obligatoria y comentario opcional con contador de caracteres</t>
  </si>
  <si>
    <t>Cargar mi valoración en el formulario y actualizarla en lugar de crear otra</t>
  </si>
  <si>
    <t>Botón «Útil» con contador, desactivado en mis propios comentarios</t>
  </si>
  <si>
    <t>Reportar un comentario: diálogo con los motivos de CS-04, confirmación y aviso si ya lo había reportado</t>
  </si>
  <si>
    <t>Mensajes de carga, «Todavía no hay valoraciones», error de red y «Contenido no disponible»</t>
  </si>
  <si>
    <t>Pruebas de pantalla con jsdom de cada caso del criterio</t>
  </si>
  <si>
    <t>CS-59, CS-47</t>
  </si>
  <si>
    <t>Como usuario, quiero que mi contraseña sea difícil de adivinar, poder cambiarla desde mi perfil y recuperarla por email si la olvido. Las mismas reglas se aplican al crear la cuenta, al cambiarla y al restablecerla. La recuperación envía un enlace de un solo uso que caduca; para ello hace falta un proveedor de envío de emails, que el equipo debe elegir y configurar en .env.</t>
  </si>
  <si>
    <t>Una contraseña se acepta solo si tiene entre 8 y 72 bytes, al menos una mayúscula, una minúscula y un número, y no contiene el nombre de usuario; si no, se rechaza con un mensaje que indica qué requisito falla, igual en el registro, en el cambio y en el restablecimiento. Los formularios muestran los requisitos y marcan cuáles se cumplen mientras se escribe. Para cambiarla hay que dar la contraseña actual: si es incorrecta, no cambia nada; si es correcta, después el inicio de sesión funciona con la nueva y falla con la antigua. Al pedir la recuperación la respuesta es la misma exista o no el email; si existe, llega un enlace que funciona una sola vez y caduca a los 30 minutos. Un enlace usado, caducado o inventado se rechaza. En la base de datos solo se guarda el hash del enlace, nunca el enlace. La recuperación tiene límite de peticiones. Si se guarda una contraseña que incumple las reglas o un enlace sirve dos veces, no está completa.</t>
  </si>
  <si>
    <t>Función validarPassword en services/shared con las reglas de la contraseña</t>
  </si>
  <si>
    <t>Aplicarla en el registro y adaptar las pruebas actuales que usan contraseñas débiles</t>
  </si>
  <si>
    <t>Mostrar los requisitos en registro.html y marcar en vivo los que se cumplen</t>
  </si>
  <si>
    <t>Guardar el nuevo hash de la contraseña en usuarioRepository</t>
  </si>
  <si>
    <t>Servicio cambiarPassword: comprueba la actual con bcrypt y valida la nueva</t>
  </si>
  <si>
    <t>Ruta PUT /api/perfil/password con requiereSesion y límite de intentos</t>
  </si>
  <si>
    <t>Formulario «Cambiar contraseña» en perfil.html (actual, nueva y repetir)</t>
  </si>
  <si>
    <t>Modelo TokenRecuperacion (usuario, hash del token, caducidad, usado) y su migración</t>
  </si>
  <si>
    <t>Elegir proveedor de email, crear emailRepository y añadir sus variables a .env.example</t>
  </si>
  <si>
    <t>Servicio solicitarRecuperacion: misma respuesta exista o no el email, token aleatorio guardado como hash y caducidad de 30 minutos</t>
  </si>
  <si>
    <t>Servicio restablecerPassword: token válido, sin usar y sin caducar; valida la nueva y marca el token como usado</t>
  </si>
  <si>
    <t>Rutas POST /api/auth/recuperar y POST /api/auth/restablecer con límite de peticiones</t>
  </si>
  <si>
    <t>Pantallas recuperar.html y restablecer.html y enlace «¿Has olvidado tu contraseña?» en el inicio de sesión</t>
  </si>
  <si>
    <t>Pruebas de API: requisitos, contraseña actual incorrecta, login con la antigua y la nueva, email inexistente y token caducado, usado o inventado (envío simulado)</t>
  </si>
  <si>
    <t>Pruebas de pantalla con jsdom de los formularios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</si>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</sst>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quot;h&quot;;\-0.0#\ &quot;h&quot;;&quot;—&quot;"/>
    <numFmt numFmtId="165" formatCode="&quot;Objetivo &quot;0"/>
    <numFmt numFmtId="166" formatCode="0\ &quot;min&quot;;\-0\ &quot;min&quot;;&quot;—&quot;"/>
  </numFmts>
  <fonts count="13">
    <font>
      <sz val="11"/>
      <color theme="1"/>
      <name val="Calibri"/>
      <family val="2"/>
      <scheme val="minor"/>
    </font>
    <font>
      <b/>
      <sz val="16"/>
      <color rgb="FF1F4E78"/>
      <name val="Arial"/>
    </font>
    <font>
      <b/>
      <sz val="11"/>
      <color rgb="FF595959"/>
      <name val="Arial"/>
    </font>
    <font>
      <b/>
      <sz val="11"/>
      <color rgb="FF1F4E78"/>
      <name val="Arial"/>
    </font>
    <font>
      <i/>
      <sz val="10"/>
      <color rgb="FF595959"/>
      <name val="Arial"/>
    </font>
    <font>
      <b/>
      <sz val="11"/>
      <color rgb="FFFFFFFF"/>
      <name val="Arial"/>
    </font>
    <font>
      <sz val="11"/>
      <name val="Arial"/>
    </font>
    <font>
      <b/>
      <sz val="14"/>
      <color rgb="FFFFFFFF"/>
      <name val="Arial"/>
    </font>
    <font>
      <b/>
      <u/>
      <sz val="11"/>
      <color rgb="FFFFFFFF"/>
      <name val="Arial"/>
    </font>
    <font>
      <b/>
      <sz val="11"/>
      <name val="Arial"/>
    </font>
    <font>
      <i/>
      <sz val="9"/>
      <color rgb="FF7F7F7F"/>
      <name val="Arial"/>
    </font>
    <font>
      <b/>
      <sz val="12"/>
      <color rgb="FFFFFFFF"/>
      <name val="Arial"/>
    </font>
    <font>
      <u/>
      <sz val="11"/>
      <color theme="10"/>
      <name val="Calibri"/>
      <family val="2"/>
      <scheme val="minor"/>
    </font>
  </fonts>
  <fills count="5">
    <fill>
      <patternFill patternType="none"/>
    </fill>
    <fill>
      <patternFill patternType="gray125"/>
    </fill>
    <fill>
      <patternFill patternType="solid">
        <fgColor rgb="FF1F4E78"/>
        <bgColor rgb="FF1F4E78"/>
      </patternFill>
    </fill>
    <fill>
      <patternFill patternType="solid">
        <fgColor rgb="FFDCE6F1"/>
        <bgColor rgb="FFDCE6F1"/>
      </patternFill>
    </fill>
    <fill>
      <patternFill patternType="solid">
        <fgColor rgb="FFF2F2F2"/>
        <bgColor rgb="FFF2F2F2"/>
      </patternFill>
    </fill>
  </fills>
  <borders count="3">
    <border>
      <left/>
      <right/>
      <top/>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s>
  <cellStyleXfs count="2">
    <xf numFmtId="0" fontId="0" fillId="0" borderId="0"/>
    <xf numFmtId="0" fontId="12" fillId="0" borderId="0" applyNumberFormat="0" applyFill="0" applyBorder="0" applyAlignment="0" applyProtection="0"/>
  </cellStyleXfs>
  <cellXfs count="36">
    <xf numFmtId="0" fontId="0" fillId="0" borderId="0" xfId="0"/>
    <xf numFmtId="0" fontId="1" fillId="0" borderId="0" xfId="0" applyFont="1"/>
    <xf numFmtId="0" fontId="2" fillId="0" borderId="0" xfId="0" applyFont="1" applyAlignment="1">
      <alignment horizontal="right" vertical="center"/>
    </xf>
    <xf numFmtId="0" fontId="3" fillId="0" borderId="0" xfId="0" applyFont="1" applyAlignment="1">
      <alignment horizontal="center" vertical="center"/>
    </xf>
    <xf numFmtId="0" fontId="5" fillId="2" borderId="1" xfId="0" applyFont="1" applyFill="1" applyBorder="1" applyAlignment="1">
      <alignment horizontal="center" vertical="center" wrapText="1"/>
    </xf>
    <xf numFmtId="0" fontId="6" fillId="0" borderId="1" xfId="0" applyFont="1" applyBorder="1" applyAlignment="1">
      <alignment horizontal="center" vertical="top" wrapText="1"/>
    </xf>
    <xf numFmtId="164" fontId="6" fillId="0" borderId="1" xfId="0" applyNumberFormat="1" applyFont="1" applyBorder="1" applyAlignment="1">
      <alignment horizontal="center" vertical="top" wrapText="1"/>
    </xf>
    <xf numFmtId="0" fontId="8" fillId="2" borderId="0" xfId="0" applyFont="1" applyFill="1" applyAlignment="1">
      <alignment horizontal="center" vertical="center"/>
    </xf>
    <xf numFmtId="0" fontId="9" fillId="3" borderId="1" xfId="0" applyFont="1" applyFill="1" applyBorder="1" applyAlignment="1">
      <alignment vertical="top" wrapText="1"/>
    </xf>
    <xf numFmtId="0" fontId="5" fillId="2" borderId="1" xfId="0" applyFont="1" applyFill="1" applyBorder="1" applyAlignment="1">
      <alignment horizontal="center" vertical="center"/>
    </xf>
    <xf numFmtId="165" fontId="9" fillId="0" borderId="1" xfId="0" applyNumberFormat="1" applyFont="1" applyBorder="1" applyAlignment="1">
      <alignment horizontal="center" vertical="top" wrapText="1"/>
    </xf>
    <xf numFmtId="0" fontId="6" fillId="0" borderId="1" xfId="0" applyFont="1" applyBorder="1" applyAlignment="1">
      <alignment vertical="top" wrapText="1"/>
    </xf>
    <xf numFmtId="166" fontId="6" fillId="0" borderId="1" xfId="0" applyNumberFormat="1" applyFont="1" applyBorder="1" applyAlignment="1">
      <alignment horizontal="center" vertical="top" wrapText="1"/>
    </xf>
    <xf numFmtId="0" fontId="12" fillId="0" borderId="1" xfId="1" applyBorder="1" applyAlignment="1">
      <alignment vertical="top" wrapText="1"/>
    </xf>
    <xf numFmtId="0" fontId="6" fillId="0" borderId="1" xfId="0" applyFont="1" applyBorder="1" applyAlignment="1">
      <alignment horizontal="center" vertical="center" wrapText="1"/>
    </xf>
    <xf numFmtId="166" fontId="6" fillId="0" borderId="1" xfId="0" applyNumberFormat="1" applyFont="1" applyBorder="1" applyAlignment="1">
      <alignment horizontal="center" vertical="center" wrapText="1"/>
    </xf>
    <xf numFmtId="165" fontId="9" fillId="0" borderId="1" xfId="0" applyNumberFormat="1" applyFont="1" applyBorder="1" applyAlignment="1">
      <alignment horizontal="center" vertical="center" wrapText="1"/>
    </xf>
    <xf numFmtId="165" fontId="9" fillId="0" borderId="2" xfId="0" applyNumberFormat="1" applyFont="1" applyBorder="1" applyAlignment="1">
      <alignment horizontal="center" vertical="center" wrapText="1"/>
    </xf>
    <xf numFmtId="0" fontId="6" fillId="0" borderId="2" xfId="0" applyFont="1" applyBorder="1" applyAlignment="1">
      <alignment vertical="top" wrapText="1"/>
    </xf>
    <xf numFmtId="0" fontId="6" fillId="0" borderId="2" xfId="0" applyFont="1" applyBorder="1" applyAlignment="1">
      <alignment horizontal="center" vertical="center" wrapText="1"/>
    </xf>
    <xf numFmtId="166" fontId="6" fillId="0" borderId="2" xfId="0" applyNumberFormat="1" applyFont="1" applyBorder="1" applyAlignment="1">
      <alignment horizontal="center" vertical="center" wrapText="1"/>
    </xf>
    <xf numFmtId="165" fontId="9" fillId="0" borderId="2" xfId="0" applyNumberFormat="1" applyFont="1" applyBorder="1" applyAlignment="1">
      <alignment horizontal="center" vertical="top" wrapText="1"/>
    </xf>
    <xf numFmtId="0" fontId="6" fillId="0" borderId="2" xfId="0" applyFont="1" applyBorder="1" applyAlignment="1">
      <alignment horizontal="center" vertical="top" wrapText="1"/>
    </xf>
    <xf numFmtId="166" fontId="6" fillId="0" borderId="2" xfId="0" applyNumberFormat="1" applyFont="1" applyBorder="1" applyAlignment="1">
      <alignment horizontal="center" vertical="top" wrapText="1"/>
    </xf>
    <xf numFmtId="0" fontId="11" fillId="2" borderId="0" xfId="0" applyFont="1" applyFill="1" applyAlignment="1">
      <alignment vertical="center"/>
    </xf>
    <xf numFmtId="0" fontId="7" fillId="2" borderId="0" xfId="0" applyFont="1" applyFill="1" applyAlignment="1">
      <alignment vertical="center"/>
    </xf>
    <xf numFmtId="164" fontId="6" fillId="4" borderId="1" xfId="0" applyNumberFormat="1" applyFont="1" applyFill="1" applyBorder="1" applyAlignment="1">
      <alignment horizontal="left" vertical="top" wrapText="1"/>
    </xf>
    <xf numFmtId="0" fontId="6" fillId="0" borderId="1" xfId="0" applyFont="1" applyBorder="1" applyAlignment="1">
      <alignment horizontal="left" vertical="top" wrapText="1"/>
    </xf>
    <xf numFmtId="14" fontId="6" fillId="0" borderId="1" xfId="0" applyNumberFormat="1" applyFont="1" applyBorder="1" applyAlignment="1">
      <alignment horizontal="left" vertical="top" wrapText="1"/>
    </xf>
    <xf numFmtId="0" fontId="6" fillId="4" borderId="1" xfId="0" applyFont="1" applyFill="1" applyBorder="1" applyAlignment="1">
      <alignment horizontal="left" vertical="top" wrapText="1"/>
    </xf>
    <xf numFmtId="0" fontId="9" fillId="0" borderId="1" xfId="0" applyFont="1" applyBorder="1" applyAlignment="1">
      <alignment horizontal="left" vertical="top" wrapText="1"/>
    </xf>
    <xf numFmtId="0" fontId="4" fillId="0" borderId="0" xfId="0" applyFont="1" applyAlignment="1">
      <alignment vertical="top" wrapText="1"/>
    </xf>
    <xf numFmtId="0" fontId="0" fillId="0" borderId="0" xfId="0" applyAlignment="1"/>
    <xf numFmtId="0" fontId="0" fillId="0" borderId="1" xfId="0" applyBorder="1" applyAlignment="1"/>
    <xf numFmtId="0" fontId="10" fillId="0" borderId="0" xfId="0" applyFont="1" applyAlignment="1"/>
    <xf numFmtId="0" fontId="10" fillId="0" borderId="0" xfId="0" applyFont="1" applyAlignment="1">
      <alignment vertical="top" wrapText="1"/>
    </xf>
  </cellXfs>
  <cellStyles count="2">
    <cellStyle name="Hyperlink" xfId="1" builtinId="8"/>
    <cellStyle name="Normal" xfId="0" builtinId="0"/>
  </cellStyles>
  <dxfs count="1028">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numFmt numFmtId="166" formatCode="0\ &quot;min&quot;;\-0\ &quot;min&quot;;&quot;—&quo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auto="1"/>
        <name val="Arial"/>
        <scheme val="none"/>
      </font>
      <alignment horizontal="general" vertical="top" textRotation="0" wrapText="1" indent="0" justifyLastLine="0" shrinkToFit="0" readingOrder="0"/>
      <border diagonalUp="0" diagonalDown="0" outline="0">
        <left style="thin">
          <color rgb="FFA6A6A6"/>
        </left>
        <right style="thin">
          <color rgb="FFA6A6A6"/>
        </right>
        <top style="thin">
          <color rgb="FFA6A6A6"/>
        </top>
        <bottom/>
      </border>
    </dxf>
    <dxf>
      <font>
        <b/>
        <i val="0"/>
        <strike val="0"/>
        <condense val="0"/>
        <extend val="0"/>
        <outline val="0"/>
        <shadow val="0"/>
        <u val="none"/>
        <vertAlign val="baseline"/>
        <sz val="11"/>
        <color auto="1"/>
        <name val="Arial"/>
        <scheme val="none"/>
      </font>
      <numFmt numFmtId="165" formatCode="&quot;Objetivo &quot;0"/>
      <alignment horizontal="center" vertical="top" textRotation="0" wrapText="1" indent="0" justifyLastLine="0" shrinkToFit="0" readingOrder="0"/>
      <border diagonalUp="0" diagonalDown="0" outline="0">
        <left style="thin">
          <color rgb="FFA6A6A6"/>
        </left>
        <right style="thin">
          <color rgb="FFA6A6A6"/>
        </right>
        <top style="thin">
          <color rgb="FFA6A6A6"/>
        </top>
        <bottom/>
      </border>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808080"/>
      </font>
    </dxf>
    <dxf>
      <font>
        <b/>
      </font>
      <fill>
        <patternFill patternType="solid">
          <fgColor rgb="FFFFF2CC"/>
          <bgColor rgb="FFFFF2CC"/>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595959"/>
      </font>
      <fill>
        <patternFill patternType="solid">
          <fgColor rgb="FFEDEDED"/>
          <bgColor rgb="FFEDEDED"/>
        </patternFill>
      </fill>
    </dxf>
    <dxf>
      <font>
        <b/>
        <color rgb="FF7F6000"/>
      </font>
      <fill>
        <patternFill patternType="solid">
          <fgColor rgb="FFFFD966"/>
          <bgColor rgb="FFFFD966"/>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b/>
        <color rgb="FF9C0006"/>
      </font>
      <fill>
        <patternFill patternType="solid">
          <fgColor rgb="FFFFC7CE"/>
          <bgColor rgb="FFFFC7CE"/>
        </patternFill>
      </fill>
    </dxf>
    <dxf>
      <font>
        <color rgb="FF843C0C"/>
      </font>
      <fill>
        <patternFill patternType="solid">
          <fgColor rgb="FFF8CBAD"/>
          <bgColor rgb="FFF8CBAD"/>
        </patternFill>
      </fill>
    </dxf>
    <dxf>
      <font>
        <color rgb="FF9C5700"/>
      </font>
      <fill>
        <patternFill patternType="solid">
          <fgColor rgb="FFFFEB9C"/>
          <bgColor rgb="FFFFEB9C"/>
        </patternFill>
      </fill>
    </dxf>
    <dxf>
      <font>
        <color rgb="FF375623"/>
      </font>
      <fill>
        <patternFill patternType="solid">
          <fgColor rgb="FFE2EFDA"/>
          <bgColor rgb="FFE2EFDA"/>
        </patternFill>
      </fill>
    </dxf>
    <dxf>
      <font>
        <color rgb="FF006100"/>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drawings/drawing1.xml><?xml version="1.0" encoding="utf-8"?>
<xdr:wsDr xmlns:xdr="http://schemas.openxmlformats.org/drawingml/2006/spreadsheetDrawing" xmlns:a="http://schemas.openxmlformats.org/drawingml/2006/main">
  <xdr:twoCellAnchor>
    <xdr:from>
      <xdr:col>7</xdr:col>
      <xdr:colOff>238125</xdr:colOff>
      <xdr:row>1</xdr:row>
      <xdr:rowOff>28575</xdr:rowOff>
    </xdr:from>
    <xdr:to>
      <xdr:col>9</xdr:col>
      <xdr:colOff>314325</xdr:colOff>
      <xdr:row>1</xdr:row>
      <xdr:rowOff>320675</xdr:rowOff>
    </xdr:to>
    <xdr:sp macro="" textlink="">
      <xdr:nvSpPr>
        <xdr:cNvPr id="3" name="Rounded Rectangle 2">
          <a:extLst>
            <a:ext uri="{FF2B5EF4-FFF2-40B4-BE49-F238E27FC236}">
              <a16:creationId xmlns:a16="http://schemas.microsoft.com/office/drawing/2014/main" id="{29665FC1-EFD0-4CD6-8E1E-37CD77C0578A}"/>
            </a:ext>
            <a:ext uri="{147F2762-F138-4A5C-976F-8EAC2B608ADB}">
              <a16:predDERef xmlns:a16="http://schemas.microsoft.com/office/drawing/2014/main" pred="{4D759CF7-471B-4A85-B336-A90B519B7B61}"/>
            </a:ext>
            <a:ext uri="{6ECC49D1-AA05-4338-93AA-15A1B29DFB0A}">
              <asl:scriptLink xmlns:asl="http://schemas.microsoft.com/office/drawing/2021/scriptlink" val="{&quot;shareId&quot;:&quot;ms-officescript%3A%2F%2Fonedrive_business_sharinglink%2Fu!aHR0cHM6Ly9jZXUzNjUtbXkuc2hhcmVwb2ludC5jb20vOnU6L2cvcGVyc29uYWwvam9hcXVpbl9kZXZpY2VudGVhYmFkX3VzcF9jZXVfZXMvSVFBV1F6OHlzUWtYU0s5UDM0ZTdzQ3p5QWRTbTYxSVhqT1Q0SWpWUnFrYmtJbTg&quot;}"/>
            </a:ext>
          </a:extLst>
        </xdr:cNvPr>
        <xdr:cNvSpPr/>
      </xdr:nvSpPr>
      <xdr:spPr>
        <a:xfrm>
          <a:off x="8972550" y="333375"/>
          <a:ext cx="1295400" cy="292100"/>
        </a:xfrm>
        <a:prstGeom prst="roundRect">
          <a:avLst/>
        </a:prstGeom>
        <a:solidFill>
          <a:srgbClr val="107C41"/>
        </a:solidFill>
        <a:ln w="25400" cap="flat" cmpd="sng" algn="ctr">
          <a:solidFill>
            <a:schemeClr val="accent1">
              <a:shade val="15000"/>
            </a:schemeClr>
          </a:solidFill>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NuevaStory</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Historias" displayName="Historias" ref="A3:G67">
  <autoFilter ref="A3:G67" xr:uid="{00000000-0009-0000-0100-000001000000}"/>
  <tableColumns count="7">
    <tableColumn id="1" xr3:uid="{00000000-0010-0000-0000-000001000000}" name="Ref"/>
    <tableColumn id="2" xr3:uid="{00000000-0010-0000-0000-000002000000}" name="Título"/>
    <tableColumn id="3" xr3:uid="{00000000-0010-0000-0000-000003000000}" name="Riesgo"/>
    <tableColumn id="4" xr3:uid="{00000000-0010-0000-0000-000004000000}" name="Prioridad"/>
    <tableColumn id="5" xr3:uid="{00000000-0010-0000-0000-000005000000}" name="Tiempo estimado"/>
    <tableColumn id="6" xr3:uid="{00000000-0010-0000-0000-000006000000}" name="Tiempo total">
      <calculatedColumnFormula>IF(ISREF(INDIRECT("'"&amp;Historias[[#This Row],[Ref]]&amp;"'!A1")),SUMIFS(INDIRECT("'"&amp;Historias[[#This Row],[Ref]]&amp;"'!F:F"),INDIRECT("'"&amp;Historias[[#This Row],[Ref]]&amp;"'!A:A"),"&gt;0")/60,"")</calculatedColumnFormula>
    </tableColumn>
    <tableColumn id="7" xr3:uid="{00000000-0010-0000-0000-000007000000}" name="Estado">
      <calculatedColumnFormula>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bj_CS01" displayName="Obj_CS01" ref="A16:F27" totalsRowCount="1">
  <autoFilter ref="A16:F26" xr:uid="{00000000-0009-0000-0100-000002000000}"/>
  <tableColumns count="6">
    <tableColumn id="1" xr3:uid="{00000000-0010-0000-0100-000001000000}" name="Objetivo" totalsRowLabel="Total" totalsRowDxfId="999">
      <calculatedColumnFormula>IF(Obj_CS01[[#This Row],[Descripción]]="","",ROW()-ROW(Obj_CS01[[#Headers],[Objetivo]]))</calculatedColumnFormula>
    </tableColumn>
    <tableColumn id="2" xr3:uid="{00000000-0010-0000-0100-000002000000}" name="Descripción" totalsRowDxfId="998"/>
    <tableColumn id="3" xr3:uid="{00000000-0010-0000-0100-000003000000}" name="Finalizado" totalsRowDxfId="997"/>
    <tableColumn id="4" xr3:uid="{00000000-0010-0000-0100-000004000000}" name="Responsable" dataDxfId="995" totalsRowDxfId="996"/>
    <tableColumn id="5" xr3:uid="{00000000-0010-0000-0100-000005000000}" name="Tiempo estimado" totalsRowFunction="sum" totalsRowDxfId="994"/>
    <tableColumn id="6" xr3:uid="{00000000-0010-0000-0100-000006000000}" name="Tiempo total" totalsRowFunction="sum" totalsRowDxfId="993"/>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bj_CS02" displayName="Obj_CS02" ref="A16:F18" totalsRowCount="1">
  <autoFilter ref="A16:F17" xr:uid="{00000000-0009-0000-0100-000003000000}"/>
  <tableColumns count="6">
    <tableColumn id="1" xr3:uid="{00000000-0010-0000-0200-000001000000}" name="Objetivo" totalsRowLabel="Total">
      <calculatedColumnFormula>IF(Obj_CS02[[#This Row],[Descripción]]="","",ROW()-ROW(Obj_CS02[[#Headers],[Objetivo]]))</calculatedColumnFormula>
    </tableColumn>
    <tableColumn id="2" xr3:uid="{00000000-0010-0000-0200-000002000000}" name="Descripción"/>
    <tableColumn id="3" xr3:uid="{00000000-0010-0000-0200-000003000000}" name="Finalizado"/>
    <tableColumn id="4" xr3:uid="{00000000-0010-0000-0200-000004000000}" name="Responsable"/>
    <tableColumn id="5" xr3:uid="{00000000-0010-0000-0200-000005000000}" totalsRowFunction="sum" name="Tiempo estimado"/>
    <tableColumn id="6" xr3:uid="{00000000-0010-0000-0200-000006000000}" totalsRowFunction="sum" name="Tiempo total"/>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Obj_CS03" displayName="Obj_CS03" ref="A16:F18" totalsRowCount="1">
  <autoFilter ref="A16:F17" xr:uid="{00000000-0009-0000-0100-000004000000}"/>
  <tableColumns count="6">
    <tableColumn id="1" xr3:uid="{00000000-0010-0000-0300-000001000000}" name="Objetivo" totalsRowLabel="Total">
      <calculatedColumnFormula>IF(Obj_CS03[[#This Row],[Descripción]]="","",ROW()-ROW(Obj_CS03[[#Headers],[Objetivo]]))</calculatedColumnFormula>
    </tableColumn>
    <tableColumn id="2" xr3:uid="{00000000-0010-0000-0300-000002000000}" name="Descripción"/>
    <tableColumn id="3" xr3:uid="{00000000-0010-0000-0300-000003000000}" name="Finalizado"/>
    <tableColumn id="4" xr3:uid="{00000000-0010-0000-0300-000004000000}" name="Responsable"/>
    <tableColumn id="5" xr3:uid="{00000000-0010-0000-0300-000005000000}" totalsRowFunction="sum" name="Tiempo estimado"/>
    <tableColumn id="6" xr3:uid="{00000000-0010-0000-0300-000006000000}" totalsRowFunction="sum" name="Tiempo total"/>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Obj_CS04" displayName="Obj_CS04" ref="A16:F18" totalsRowCount="1">
  <autoFilter ref="A16:F17" xr:uid="{00000000-0009-0000-0100-000005000000}"/>
  <tableColumns count="6">
    <tableColumn id="1" xr3:uid="{00000000-0010-0000-0400-000001000000}" name="Objetivo" totalsRowLabel="Total">
      <calculatedColumnFormula>IF(Obj_CS04[[#This Row],[Descripción]]="","",ROW()-ROW(Obj_CS04[[#Headers],[Objetivo]]))</calculatedColumnFormula>
    </tableColumn>
    <tableColumn id="2" xr3:uid="{00000000-0010-0000-0400-000002000000}" name="Descripción"/>
    <tableColumn id="3" xr3:uid="{00000000-0010-0000-0400-000003000000}" name="Finalizado"/>
    <tableColumn id="4" xr3:uid="{00000000-0010-0000-0400-000004000000}" name="Responsable"/>
    <tableColumn id="5" xr3:uid="{00000000-0010-0000-0400-000005000000}" totalsRowFunction="sum" name="Tiempo estimado"/>
    <tableColumn id="6" xr3:uid="{00000000-0010-0000-0400-000006000000}" totalsRowFunction="sum" name="Tiempo total"/>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bj_CS05" displayName="Obj_CS05" ref="A16:F18" totalsRowCount="1">
  <autoFilter ref="A16:F17" xr:uid="{00000000-0009-0000-0100-000006000000}"/>
  <tableColumns count="6">
    <tableColumn id="1" xr3:uid="{00000000-0010-0000-0500-000001000000}" name="Objetivo" totalsRowLabel="Total">
      <calculatedColumnFormula>IF(Obj_CS05[[#This Row],[Descripción]]="","",ROW()-ROW(Obj_CS05[[#Headers],[Objetivo]]))</calculatedColumnFormula>
    </tableColumn>
    <tableColumn id="2" xr3:uid="{00000000-0010-0000-0500-000002000000}" name="Descripción"/>
    <tableColumn id="3" xr3:uid="{00000000-0010-0000-0500-000003000000}" name="Finalizado"/>
    <tableColumn id="4" xr3:uid="{00000000-0010-0000-0500-000004000000}" name="Responsable"/>
    <tableColumn id="5" xr3:uid="{00000000-0010-0000-0500-000005000000}" totalsRowFunction="sum" name="Tiempo estimado"/>
    <tableColumn id="6" xr3:uid="{00000000-0010-0000-0500-000006000000}" totalsRowFunction="sum" name="Tiempo total"/>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Obj_CS06" displayName="Obj_CS06" ref="A16:F18" totalsRowCount="1">
  <autoFilter ref="A16:F17" xr:uid="{00000000-0009-0000-0100-000007000000}"/>
  <tableColumns count="6">
    <tableColumn id="1" xr3:uid="{00000000-0010-0000-0600-000001000000}" name="Objetivo" totalsRowLabel="Total">
      <calculatedColumnFormula>IF(Obj_CS06[[#This Row],[Descripción]]="","",ROW()-ROW(Obj_CS06[[#Headers],[Objetivo]]))</calculatedColumnFormula>
    </tableColumn>
    <tableColumn id="2" xr3:uid="{00000000-0010-0000-0600-000002000000}" name="Descripción"/>
    <tableColumn id="3" xr3:uid="{00000000-0010-0000-0600-000003000000}" name="Finalizado"/>
    <tableColumn id="4" xr3:uid="{00000000-0010-0000-0600-000004000000}" name="Responsable"/>
    <tableColumn id="5" xr3:uid="{00000000-0010-0000-0600-000005000000}" totalsRowFunction="sum" name="Tiempo estimado"/>
    <tableColumn id="6" xr3:uid="{00000000-0010-0000-0600-000006000000}" totalsRowFunction="sum" name="Tiempo total"/>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Obj_CS07" displayName="Obj_CS07" ref="A16:F18" totalsRowCount="1">
  <autoFilter ref="A16:F17" xr:uid="{00000000-0009-0000-0100-000008000000}"/>
  <tableColumns count="6">
    <tableColumn id="1" xr3:uid="{00000000-0010-0000-0700-000001000000}" name="Objetivo" totalsRowLabel="Total">
      <calculatedColumnFormula>IF(Obj_CS07[[#This Row],[Descripción]]="","",ROW()-ROW(Obj_CS07[[#Headers],[Objetivo]]))</calculatedColumnFormula>
    </tableColumn>
    <tableColumn id="2" xr3:uid="{00000000-0010-0000-0700-000002000000}" name="Descripción"/>
    <tableColumn id="3" xr3:uid="{00000000-0010-0000-0700-000003000000}" name="Finalizado"/>
    <tableColumn id="4" xr3:uid="{00000000-0010-0000-0700-000004000000}" name="Responsable"/>
    <tableColumn id="5" xr3:uid="{00000000-0010-0000-0700-000005000000}" totalsRowFunction="sum" name="Tiempo estimado"/>
    <tableColumn id="6" xr3:uid="{00000000-0010-0000-0700-000006000000}" totalsRowFunction="sum" name="Tiempo total"/>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Obj_CS08" displayName="Obj_CS08" ref="A16:F18" totalsRowCount="1">
  <autoFilter ref="A16:F17" xr:uid="{00000000-0009-0000-0100-000009000000}"/>
  <tableColumns count="6">
    <tableColumn id="1" xr3:uid="{00000000-0010-0000-0800-000001000000}" name="Objetivo" totalsRowLabel="Total">
      <calculatedColumnFormula>IF(Obj_CS08[[#This Row],[Descripción]]="","",ROW()-ROW(Obj_CS08[[#Headers],[Objetivo]]))</calculatedColumnFormula>
    </tableColumn>
    <tableColumn id="2" xr3:uid="{00000000-0010-0000-0800-000002000000}" name="Descripción"/>
    <tableColumn id="3" xr3:uid="{00000000-0010-0000-0800-000003000000}" name="Finalizado"/>
    <tableColumn id="4" xr3:uid="{00000000-0010-0000-0800-000004000000}" name="Responsable"/>
    <tableColumn id="5" xr3:uid="{00000000-0010-0000-0800-000005000000}" totalsRowFunction="sum" name="Tiempo estimado"/>
    <tableColumn id="6" xr3:uid="{00000000-0010-0000-0800-000006000000}" totalsRowFunction="sum" name="Tiempo total"/>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Obj_CS09" displayName="Obj_CS09" ref="A16:F18" totalsRowCount="1">
  <autoFilter ref="A16:F17" xr:uid="{00000000-0009-0000-0100-00000A000000}"/>
  <tableColumns count="6">
    <tableColumn id="1" xr3:uid="{00000000-0010-0000-0900-000001000000}" name="Objetivo" totalsRowLabel="Total">
      <calculatedColumnFormula>IF(Obj_CS09[[#This Row],[Descripción]]="","",ROW()-ROW(Obj_CS09[[#Headers],[Objetivo]]))</calculatedColumnFormula>
    </tableColumn>
    <tableColumn id="2" xr3:uid="{00000000-0010-0000-0900-000002000000}" name="Descripción"/>
    <tableColumn id="3" xr3:uid="{00000000-0010-0000-0900-000003000000}" name="Finalizado"/>
    <tableColumn id="4" xr3:uid="{00000000-0010-0000-0900-000004000000}" name="Responsable"/>
    <tableColumn id="5" xr3:uid="{00000000-0010-0000-0900-000005000000}" totalsRowFunction="sum" name="Tiempo estimado"/>
    <tableColumn id="6" xr3:uid="{00000000-0010-0000-0900-000006000000}" totalsRowFunction="sum" name="Tiempo total"/>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Obj_CS10" displayName="Obj_CS10" ref="A16:F18" totalsRowCount="1">
  <autoFilter ref="A16:F17" xr:uid="{00000000-0009-0000-0100-00000B000000}"/>
  <tableColumns count="6">
    <tableColumn id="1" xr3:uid="{00000000-0010-0000-0A00-000001000000}" name="Objetivo" totalsRowLabel="Total">
      <calculatedColumnFormula>IF(Obj_CS10[[#This Row],[Descripción]]="","",ROW()-ROW(Obj_CS10[[#Headers],[Objetivo]]))</calculatedColumnFormula>
    </tableColumn>
    <tableColumn id="2" xr3:uid="{00000000-0010-0000-0A00-000002000000}" name="Descripción"/>
    <tableColumn id="3" xr3:uid="{00000000-0010-0000-0A00-000003000000}" name="Finalizado"/>
    <tableColumn id="4" xr3:uid="{00000000-0010-0000-0A00-000004000000}" name="Responsable"/>
    <tableColumn id="5" xr3:uid="{00000000-0010-0000-0A00-000005000000}" totalsRowFunction="sum" name="Tiempo estimado"/>
    <tableColumn id="6" xr3:uid="{00000000-0010-0000-0A00-000006000000}" totalsRowFunction="sum" name="Tiempo total"/>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bj_CS11" displayName="Obj_CS11" ref="A16:F18" totalsRowCount="1">
  <autoFilter ref="A16:F17" xr:uid="{00000000-0009-0000-0100-00000C000000}"/>
  <tableColumns count="6">
    <tableColumn id="1" xr3:uid="{00000000-0010-0000-0B00-000001000000}" name="Objetivo" totalsRowLabel="Total">
      <calculatedColumnFormula>IF(Obj_CS11[[#This Row],[Descripción]]="","",ROW()-ROW(Obj_CS11[[#Headers],[Objetivo]]))</calculatedColumnFormula>
    </tableColumn>
    <tableColumn id="2" xr3:uid="{00000000-0010-0000-0B00-000002000000}" name="Descripción"/>
    <tableColumn id="3" xr3:uid="{00000000-0010-0000-0B00-000003000000}" name="Finalizado"/>
    <tableColumn id="4" xr3:uid="{00000000-0010-0000-0B00-000004000000}" name="Responsable"/>
    <tableColumn id="5" xr3:uid="{00000000-0010-0000-0B00-000005000000}" totalsRowFunction="sum" name="Tiempo estimado"/>
    <tableColumn id="6" xr3:uid="{00000000-0010-0000-0B00-000006000000}" totalsRowFunction="sum" name="Tiempo total"/>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Obj_CS12" displayName="Obj_CS12" ref="A16:F18" totalsRowCount="1">
  <autoFilter ref="A16:F17" xr:uid="{00000000-0009-0000-0100-00000D000000}"/>
  <tableColumns count="6">
    <tableColumn id="1" xr3:uid="{00000000-0010-0000-0C00-000001000000}" name="Objetivo" totalsRowLabel="Total">
      <calculatedColumnFormula>IF(Obj_CS12[[#This Row],[Descripción]]="","",ROW()-ROW(Obj_CS12[[#Headers],[Objetivo]]))</calculatedColumnFormula>
    </tableColumn>
    <tableColumn id="2" xr3:uid="{00000000-0010-0000-0C00-000002000000}" name="Descripción"/>
    <tableColumn id="3" xr3:uid="{00000000-0010-0000-0C00-000003000000}" name="Finalizado"/>
    <tableColumn id="4" xr3:uid="{00000000-0010-0000-0C00-000004000000}" name="Responsable"/>
    <tableColumn id="5" xr3:uid="{00000000-0010-0000-0C00-000005000000}" totalsRowFunction="sum" name="Tiempo estimado"/>
    <tableColumn id="6" xr3:uid="{00000000-0010-0000-0C00-000006000000}" totalsRowFunction="sum" name="Tiempo total"/>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Obj_CS13" displayName="Obj_CS13" ref="A16:F18" totalsRowCount="1">
  <autoFilter ref="A16:F17" xr:uid="{00000000-0009-0000-0100-00000E000000}"/>
  <tableColumns count="6">
    <tableColumn id="1" xr3:uid="{00000000-0010-0000-0D00-000001000000}" name="Objetivo" totalsRowLabel="Total">
      <calculatedColumnFormula>IF(Obj_CS13[[#This Row],[Descripción]]="","",ROW()-ROW(Obj_CS13[[#Headers],[Objetivo]]))</calculatedColumnFormula>
    </tableColumn>
    <tableColumn id="2" xr3:uid="{00000000-0010-0000-0D00-000002000000}" name="Descripción"/>
    <tableColumn id="3" xr3:uid="{00000000-0010-0000-0D00-000003000000}" name="Finalizado"/>
    <tableColumn id="4" xr3:uid="{00000000-0010-0000-0D00-000004000000}" name="Responsable"/>
    <tableColumn id="5" xr3:uid="{00000000-0010-0000-0D00-000005000000}" totalsRowFunction="sum" name="Tiempo estimado"/>
    <tableColumn id="6" xr3:uid="{00000000-0010-0000-0D00-000006000000}" totalsRowFunction="sum" name="Tiempo total"/>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Obj_CS14" displayName="Obj_CS14" ref="A16:F18" totalsRowCount="1">
  <autoFilter ref="A16:F17" xr:uid="{00000000-0009-0000-0100-00000F000000}"/>
  <tableColumns count="6">
    <tableColumn id="1" xr3:uid="{00000000-0010-0000-0E00-000001000000}" name="Objetivo" totalsRowLabel="Total">
      <calculatedColumnFormula>IF(Obj_CS14[[#This Row],[Descripción]]="","",ROW()-ROW(Obj_CS14[[#Headers],[Objetivo]]))</calculatedColumnFormula>
    </tableColumn>
    <tableColumn id="2" xr3:uid="{00000000-0010-0000-0E00-000002000000}" name="Descripción"/>
    <tableColumn id="3" xr3:uid="{00000000-0010-0000-0E00-000003000000}" name="Finalizado"/>
    <tableColumn id="4" xr3:uid="{00000000-0010-0000-0E00-000004000000}" name="Responsable"/>
    <tableColumn id="5" xr3:uid="{00000000-0010-0000-0E00-000005000000}" totalsRowFunction="sum" name="Tiempo estimado"/>
    <tableColumn id="6" xr3:uid="{00000000-0010-0000-0E00-000006000000}" totalsRowFunction="sum" name="Tiempo total"/>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Obj_CS15" displayName="Obj_CS15" ref="A16:F18" totalsRowCount="1">
  <autoFilter ref="A16:F17" xr:uid="{00000000-0009-0000-0100-000010000000}"/>
  <tableColumns count="6">
    <tableColumn id="1" xr3:uid="{00000000-0010-0000-0F00-000001000000}" name="Objetivo" totalsRowLabel="Total">
      <calculatedColumnFormula>IF(Obj_CS15[[#This Row],[Descripción]]="","",ROW()-ROW(Obj_CS15[[#Headers],[Objetivo]]))</calculatedColumnFormula>
    </tableColumn>
    <tableColumn id="2" xr3:uid="{00000000-0010-0000-0F00-000002000000}" name="Descripción"/>
    <tableColumn id="3" xr3:uid="{00000000-0010-0000-0F00-000003000000}" name="Finalizado"/>
    <tableColumn id="4" xr3:uid="{00000000-0010-0000-0F00-000004000000}" name="Responsable"/>
    <tableColumn id="5" xr3:uid="{00000000-0010-0000-0F00-000005000000}" totalsRowFunction="sum" name="Tiempo estimado"/>
    <tableColumn id="6" xr3:uid="{00000000-0010-0000-0F00-000006000000}" totalsRowFunction="sum" name="Tiempo total"/>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Obj_CS16" displayName="Obj_CS16" ref="A16:F18" totalsRowCount="1">
  <autoFilter ref="A16:F17" xr:uid="{00000000-0009-0000-0100-000011000000}"/>
  <tableColumns count="6">
    <tableColumn id="1" xr3:uid="{00000000-0010-0000-1000-000001000000}" name="Objetivo" totalsRowLabel="Total">
      <calculatedColumnFormula>IF(Obj_CS16[[#This Row],[Descripción]]="","",ROW()-ROW(Obj_CS16[[#Headers],[Objetivo]]))</calculatedColumnFormula>
    </tableColumn>
    <tableColumn id="2" xr3:uid="{00000000-0010-0000-1000-000002000000}" name="Descripción"/>
    <tableColumn id="3" xr3:uid="{00000000-0010-0000-1000-000003000000}" name="Finalizado"/>
    <tableColumn id="4" xr3:uid="{00000000-0010-0000-1000-000004000000}" name="Responsable"/>
    <tableColumn id="5" xr3:uid="{00000000-0010-0000-1000-000005000000}" totalsRowFunction="sum" name="Tiempo estimado"/>
    <tableColumn id="6" xr3:uid="{00000000-0010-0000-1000-000006000000}" totalsRowFunction="sum" name="Tiempo total"/>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Obj_CS17" displayName="Obj_CS17" ref="A16:F18" totalsRowCount="1">
  <autoFilter ref="A16:F17" xr:uid="{00000000-0009-0000-0100-000012000000}"/>
  <tableColumns count="6">
    <tableColumn id="1" xr3:uid="{00000000-0010-0000-1100-000001000000}" name="Objetivo" totalsRowLabel="Total">
      <calculatedColumnFormula>IF(Obj_CS17[[#This Row],[Descripción]]="","",ROW()-ROW(Obj_CS17[[#Headers],[Objetivo]]))</calculatedColumnFormula>
    </tableColumn>
    <tableColumn id="2" xr3:uid="{00000000-0010-0000-1100-000002000000}" name="Descripción"/>
    <tableColumn id="3" xr3:uid="{00000000-0010-0000-1100-000003000000}" name="Finalizado"/>
    <tableColumn id="4" xr3:uid="{00000000-0010-0000-1100-000004000000}" name="Responsable"/>
    <tableColumn id="5" xr3:uid="{00000000-0010-0000-1100-000005000000}" totalsRowFunction="sum" name="Tiempo estimado"/>
    <tableColumn id="6" xr3:uid="{00000000-0010-0000-1100-000006000000}" totalsRowFunction="sum" name="Tiempo total"/>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Obj_CS18" displayName="Obj_CS18" ref="A16:F18" totalsRowCount="1">
  <autoFilter ref="A16:F17" xr:uid="{00000000-0009-0000-0100-000013000000}"/>
  <tableColumns count="6">
    <tableColumn id="1" xr3:uid="{00000000-0010-0000-1200-000001000000}" name="Objetivo" totalsRowLabel="Total">
      <calculatedColumnFormula>IF(Obj_CS18[[#This Row],[Descripción]]="","",ROW()-ROW(Obj_CS18[[#Headers],[Objetivo]]))</calculatedColumnFormula>
    </tableColumn>
    <tableColumn id="2" xr3:uid="{00000000-0010-0000-1200-000002000000}" name="Descripción"/>
    <tableColumn id="3" xr3:uid="{00000000-0010-0000-1200-000003000000}" name="Finalizado"/>
    <tableColumn id="4" xr3:uid="{00000000-0010-0000-1200-000004000000}" name="Responsable"/>
    <tableColumn id="5" xr3:uid="{00000000-0010-0000-1200-000005000000}" totalsRowFunction="sum" name="Tiempo estimado"/>
    <tableColumn id="6" xr3:uid="{00000000-0010-0000-1200-000006000000}" totalsRowFunction="sum" name="Tiempo total"/>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Obj_CS19" displayName="Obj_CS19" ref="A16:F18" totalsRowCount="1">
  <autoFilter ref="A16:F17" xr:uid="{00000000-0009-0000-0100-000014000000}"/>
  <tableColumns count="6">
    <tableColumn id="1" xr3:uid="{00000000-0010-0000-1300-000001000000}" name="Objetivo" totalsRowLabel="Total">
      <calculatedColumnFormula>IF(Obj_CS19[[#This Row],[Descripción]]="","",ROW()-ROW(Obj_CS19[[#Headers],[Objetivo]]))</calculatedColumnFormula>
    </tableColumn>
    <tableColumn id="2" xr3:uid="{00000000-0010-0000-1300-000002000000}" name="Descripción"/>
    <tableColumn id="3" xr3:uid="{00000000-0010-0000-1300-000003000000}" name="Finalizado"/>
    <tableColumn id="4" xr3:uid="{00000000-0010-0000-1300-000004000000}" name="Responsable"/>
    <tableColumn id="5" xr3:uid="{00000000-0010-0000-1300-000005000000}" totalsRowFunction="sum" name="Tiempo estimado"/>
    <tableColumn id="6" xr3:uid="{00000000-0010-0000-1300-000006000000}" totalsRowFunction="sum" name="Tiempo total"/>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Obj_CS20" displayName="Obj_CS20" ref="A16:F18" totalsRowCount="1">
  <autoFilter ref="A16:F17" xr:uid="{00000000-0009-0000-0100-000015000000}"/>
  <tableColumns count="6">
    <tableColumn id="1" xr3:uid="{00000000-0010-0000-1400-000001000000}" name="Objetivo" totalsRowLabel="Total">
      <calculatedColumnFormula>IF(Obj_CS20[[#This Row],[Descripción]]="","",ROW()-ROW(Obj_CS20[[#Headers],[Objetivo]]))</calculatedColumnFormula>
    </tableColumn>
    <tableColumn id="2" xr3:uid="{00000000-0010-0000-1400-000002000000}" name="Descripción"/>
    <tableColumn id="3" xr3:uid="{00000000-0010-0000-1400-000003000000}" name="Finalizado"/>
    <tableColumn id="4" xr3:uid="{00000000-0010-0000-1400-000004000000}" name="Responsable"/>
    <tableColumn id="5" xr3:uid="{00000000-0010-0000-1400-000005000000}" totalsRowFunction="sum" name="Tiempo estimado"/>
    <tableColumn id="6" xr3:uid="{00000000-0010-0000-1400-000006000000}" totalsRowFunction="sum" name="Tiempo total"/>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Obj_CS21" displayName="Obj_CS21" ref="A16:F18" totalsRowCount="1">
  <autoFilter ref="A16:F17" xr:uid="{00000000-0009-0000-0100-000016000000}"/>
  <tableColumns count="6">
    <tableColumn id="1" xr3:uid="{00000000-0010-0000-1500-000001000000}" name="Objetivo" totalsRowLabel="Total">
      <calculatedColumnFormula>IF(Obj_CS21[[#This Row],[Descripción]]="","",ROW()-ROW(Obj_CS21[[#Headers],[Objetivo]]))</calculatedColumnFormula>
    </tableColumn>
    <tableColumn id="2" xr3:uid="{00000000-0010-0000-1500-000002000000}" name="Descripción"/>
    <tableColumn id="3" xr3:uid="{00000000-0010-0000-1500-000003000000}" name="Finalizado"/>
    <tableColumn id="4" xr3:uid="{00000000-0010-0000-1500-000004000000}" name="Responsable"/>
    <tableColumn id="5" xr3:uid="{00000000-0010-0000-1500-000005000000}" totalsRowFunction="sum" name="Tiempo estimado"/>
    <tableColumn id="6" xr3:uid="{00000000-0010-0000-1500-000006000000}" totalsRowFunction="sum" name="Tiempo total"/>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Obj_CS22" displayName="Obj_CS22" ref="A16:F24" totalsRowCount="1">
  <autoFilter ref="A16:F23" xr:uid="{00000000-0009-0000-0100-000017000000}"/>
  <tableColumns count="6">
    <tableColumn id="1" xr3:uid="{00000000-0010-0000-1600-000001000000}" name="Objetivo" totalsRowLabel="Total" totalsRowDxfId="698">
      <calculatedColumnFormula>IF(Obj_CS22[[#This Row],[Descripción]]="","",ROW()-ROW(Obj_CS22[[#Headers],[Objetivo]]))</calculatedColumnFormula>
    </tableColumn>
    <tableColumn id="2" xr3:uid="{00000000-0010-0000-1600-000002000000}" name="Descripción" totalsRowDxfId="697"/>
    <tableColumn id="3" xr3:uid="{00000000-0010-0000-1600-000003000000}" name="Finalizado" totalsRowDxfId="696"/>
    <tableColumn id="4" xr3:uid="{00000000-0010-0000-1600-000004000000}" name="Responsable" dataDxfId="694" totalsRowDxfId="695"/>
    <tableColumn id="5" xr3:uid="{00000000-0010-0000-1600-000005000000}" name="Tiempo estimado" totalsRowFunction="sum" dataDxfId="692" totalsRowDxfId="693"/>
    <tableColumn id="6" xr3:uid="{00000000-0010-0000-1600-000006000000}" name="Tiempo total" totalsRowFunction="sum" dataDxfId="690" totalsRowDxfId="691"/>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Obj_CS23" displayName="Obj_CS23" ref="A16:F18" totalsRowCount="1">
  <autoFilter ref="A16:F17" xr:uid="{00000000-0009-0000-0100-000018000000}"/>
  <tableColumns count="6">
    <tableColumn id="1" xr3:uid="{00000000-0010-0000-1700-000001000000}" name="Objetivo" totalsRowLabel="Total">
      <calculatedColumnFormula>IF(Obj_CS23[[#This Row],[Descripción]]="","",ROW()-ROW(Obj_CS23[[#Headers],[Objetivo]]))</calculatedColumnFormula>
    </tableColumn>
    <tableColumn id="2" xr3:uid="{00000000-0010-0000-1700-000002000000}" name="Descripción"/>
    <tableColumn id="3" xr3:uid="{00000000-0010-0000-1700-000003000000}" name="Finalizado"/>
    <tableColumn id="4" xr3:uid="{00000000-0010-0000-1700-000004000000}" name="Responsable"/>
    <tableColumn id="5" xr3:uid="{00000000-0010-0000-1700-000005000000}" totalsRowFunction="sum" name="Tiempo estimado"/>
    <tableColumn id="6" xr3:uid="{00000000-0010-0000-1700-000006000000}" totalsRowFunction="sum" name="Tiempo total"/>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Obj_CS24" displayName="Obj_CS24" ref="A16:F18" totalsRowCount="1">
  <autoFilter ref="A16:F17" xr:uid="{00000000-0009-0000-0100-000019000000}"/>
  <tableColumns count="6">
    <tableColumn id="1" xr3:uid="{00000000-0010-0000-1800-000001000000}" name="Objetivo" totalsRowLabel="Total">
      <calculatedColumnFormula>IF(Obj_CS24[[#This Row],[Descripción]]="","",ROW()-ROW(Obj_CS24[[#Headers],[Objetivo]]))</calculatedColumnFormula>
    </tableColumn>
    <tableColumn id="2" xr3:uid="{00000000-0010-0000-1800-000002000000}" name="Descripción"/>
    <tableColumn id="3" xr3:uid="{00000000-0010-0000-1800-000003000000}" name="Finalizado"/>
    <tableColumn id="4" xr3:uid="{00000000-0010-0000-1800-000004000000}" name="Responsable"/>
    <tableColumn id="5" xr3:uid="{00000000-0010-0000-1800-000005000000}" totalsRowFunction="sum" name="Tiempo estimado"/>
    <tableColumn id="6" xr3:uid="{00000000-0010-0000-1800-000006000000}" totalsRowFunction="sum" name="Tiempo total"/>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Obj_CS25" displayName="Obj_CS25" ref="A16:F18" totalsRowCount="1">
  <autoFilter ref="A16:F17" xr:uid="{00000000-0009-0000-0100-00001A000000}"/>
  <tableColumns count="6">
    <tableColumn id="1" xr3:uid="{00000000-0010-0000-1900-000001000000}" name="Objetivo" totalsRowLabel="Total">
      <calculatedColumnFormula>IF(Obj_CS25[[#This Row],[Descripción]]="","",ROW()-ROW(Obj_CS25[[#Headers],[Objetivo]]))</calculatedColumnFormula>
    </tableColumn>
    <tableColumn id="2" xr3:uid="{00000000-0010-0000-1900-000002000000}" name="Descripción"/>
    <tableColumn id="3" xr3:uid="{00000000-0010-0000-1900-000003000000}" name="Finalizado"/>
    <tableColumn id="4" xr3:uid="{00000000-0010-0000-1900-000004000000}" name="Responsable"/>
    <tableColumn id="5" xr3:uid="{00000000-0010-0000-1900-000005000000}" totalsRowFunction="sum" name="Tiempo estimado"/>
    <tableColumn id="6" xr3:uid="{00000000-0010-0000-1900-000006000000}" totalsRowFunction="sum" name="Tiempo total"/>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Obj_CS26" displayName="Obj_CS26" ref="A16:F18" totalsRowCount="1">
  <autoFilter ref="A16:F17" xr:uid="{00000000-0009-0000-0100-00001B000000}"/>
  <tableColumns count="6">
    <tableColumn id="1" xr3:uid="{00000000-0010-0000-1A00-000001000000}" name="Objetivo" totalsRowLabel="Total">
      <calculatedColumnFormula>IF(Obj_CS26[[#This Row],[Descripción]]="","",ROW()-ROW(Obj_CS26[[#Headers],[Objetivo]]))</calculatedColumnFormula>
    </tableColumn>
    <tableColumn id="2" xr3:uid="{00000000-0010-0000-1A00-000002000000}" name="Descripción"/>
    <tableColumn id="3" xr3:uid="{00000000-0010-0000-1A00-000003000000}" name="Finalizado"/>
    <tableColumn id="4" xr3:uid="{00000000-0010-0000-1A00-000004000000}" name="Responsable"/>
    <tableColumn id="5" xr3:uid="{00000000-0010-0000-1A00-000005000000}" totalsRowFunction="sum" name="Tiempo estimado"/>
    <tableColumn id="6" xr3:uid="{00000000-0010-0000-1A00-000006000000}" totalsRowFunction="sum" name="Tiempo total"/>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Obj_CS27" displayName="Obj_CS27" ref="A16:F18" totalsRowCount="1">
  <autoFilter ref="A16:F17" xr:uid="{00000000-0009-0000-0100-00001C000000}"/>
  <tableColumns count="6">
    <tableColumn id="1" xr3:uid="{00000000-0010-0000-1B00-000001000000}" name="Objetivo" totalsRowLabel="Total">
      <calculatedColumnFormula>IF(Obj_CS27[[#This Row],[Descripción]]="","",ROW()-ROW(Obj_CS27[[#Headers],[Objetivo]]))</calculatedColumnFormula>
    </tableColumn>
    <tableColumn id="2" xr3:uid="{00000000-0010-0000-1B00-000002000000}" name="Descripción"/>
    <tableColumn id="3" xr3:uid="{00000000-0010-0000-1B00-000003000000}" name="Finalizado"/>
    <tableColumn id="4" xr3:uid="{00000000-0010-0000-1B00-000004000000}" name="Responsable"/>
    <tableColumn id="5" xr3:uid="{00000000-0010-0000-1B00-000005000000}" totalsRowFunction="sum" name="Tiempo estimado"/>
    <tableColumn id="6" xr3:uid="{00000000-0010-0000-1B00-000006000000}" totalsRowFunction="sum" name="Tiempo total"/>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Obj_CS28" displayName="Obj_CS28" ref="A16:F18" totalsRowCount="1">
  <autoFilter ref="A16:F17" xr:uid="{00000000-0009-0000-0100-00001D000000}"/>
  <tableColumns count="6">
    <tableColumn id="1" xr3:uid="{00000000-0010-0000-1C00-000001000000}" name="Objetivo" totalsRowLabel="Total">
      <calculatedColumnFormula>IF(Obj_CS28[[#This Row],[Descripción]]="","",ROW()-ROW(Obj_CS28[[#Headers],[Objetivo]]))</calculatedColumnFormula>
    </tableColumn>
    <tableColumn id="2" xr3:uid="{00000000-0010-0000-1C00-000002000000}" name="Descripción"/>
    <tableColumn id="3" xr3:uid="{00000000-0010-0000-1C00-000003000000}" name="Finalizado"/>
    <tableColumn id="4" xr3:uid="{00000000-0010-0000-1C00-000004000000}" name="Responsable"/>
    <tableColumn id="5" xr3:uid="{00000000-0010-0000-1C00-000005000000}" totalsRowFunction="sum" name="Tiempo estimado"/>
    <tableColumn id="6" xr3:uid="{00000000-0010-0000-1C00-000006000000}" totalsRowFunction="sum" name="Tiempo total"/>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Obj_CS29" displayName="Obj_CS29" ref="A16:F18" totalsRowCount="1">
  <autoFilter ref="A16:F17" xr:uid="{00000000-0009-0000-0100-00001E000000}"/>
  <tableColumns count="6">
    <tableColumn id="1" xr3:uid="{00000000-0010-0000-1D00-000001000000}" name="Objetivo" totalsRowLabel="Total">
      <calculatedColumnFormula>IF(Obj_CS29[[#This Row],[Descripción]]="","",ROW()-ROW(Obj_CS29[[#Headers],[Objetivo]]))</calculatedColumnFormula>
    </tableColumn>
    <tableColumn id="2" xr3:uid="{00000000-0010-0000-1D00-000002000000}" name="Descripción"/>
    <tableColumn id="3" xr3:uid="{00000000-0010-0000-1D00-000003000000}" name="Finalizado"/>
    <tableColumn id="4" xr3:uid="{00000000-0010-0000-1D00-000004000000}" name="Responsable"/>
    <tableColumn id="5" xr3:uid="{00000000-0010-0000-1D00-000005000000}" totalsRowFunction="sum" name="Tiempo estimado"/>
    <tableColumn id="6" xr3:uid="{00000000-0010-0000-1D00-000006000000}" totalsRowFunction="sum" name="Tiempo total"/>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Obj_CS30" displayName="Obj_CS30" ref="A16:F27" totalsRowCount="1">
  <autoFilter ref="A16:F26" xr:uid="{00000000-0009-0000-0100-00001F000000}"/>
  <tableColumns count="6">
    <tableColumn id="1" xr3:uid="{00000000-0010-0000-1E00-000001000000}" name="Objetivo" totalsRowLabel="Total" dataDxfId="576" totalsRowDxfId="577">
      <calculatedColumnFormula>IF(Obj_CS30[[#This Row],[Descripción]]="","",ROW()-ROW(Obj_CS30[[#Headers],[Objetivo]]))</calculatedColumnFormula>
    </tableColumn>
    <tableColumn id="2" xr3:uid="{00000000-0010-0000-1E00-000002000000}" name="Descripción" dataDxfId="574" totalsRowDxfId="575"/>
    <tableColumn id="3" xr3:uid="{00000000-0010-0000-1E00-000003000000}" name="Finalizado" dataDxfId="572" totalsRowDxfId="573"/>
    <tableColumn id="4" xr3:uid="{00000000-0010-0000-1E00-000004000000}" name="Responsable" dataDxfId="570" totalsRowDxfId="571"/>
    <tableColumn id="5" xr3:uid="{00000000-0010-0000-1E00-000005000000}" name="Tiempo estimado" totalsRowFunction="sum" dataDxfId="568" totalsRowDxfId="569"/>
    <tableColumn id="6" xr3:uid="{00000000-0010-0000-1E00-000006000000}" name="Tiempo total" totalsRowFunction="sum" dataDxfId="566" totalsRowDxfId="567"/>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Obj_CS31" displayName="Obj_CS31" ref="A16:F18" totalsRowCount="1">
  <autoFilter ref="A16:F17" xr:uid="{00000000-0009-0000-0100-000020000000}"/>
  <tableColumns count="6">
    <tableColumn id="1" xr3:uid="{00000000-0010-0000-1F00-000001000000}" name="Objetivo" totalsRowLabel="Total">
      <calculatedColumnFormula>IF(Obj_CS31[[#This Row],[Descripción]]="","",ROW()-ROW(Obj_CS31[[#Headers],[Objetivo]]))</calculatedColumnFormula>
    </tableColumn>
    <tableColumn id="2" xr3:uid="{00000000-0010-0000-1F00-000002000000}" name="Descripción"/>
    <tableColumn id="3" xr3:uid="{00000000-0010-0000-1F00-000003000000}" name="Finalizado"/>
    <tableColumn id="4" xr3:uid="{00000000-0010-0000-1F00-000004000000}" name="Responsable"/>
    <tableColumn id="5" xr3:uid="{00000000-0010-0000-1F00-000005000000}" totalsRowFunction="sum" name="Tiempo estimado"/>
    <tableColumn id="6" xr3:uid="{00000000-0010-0000-1F00-000006000000}" totalsRowFunction="sum" name="Tiempo total"/>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Obj_CS32" displayName="Obj_CS32" ref="A16:F18" totalsRowCount="1">
  <autoFilter ref="A16:F17" xr:uid="{00000000-0009-0000-0100-000021000000}"/>
  <tableColumns count="6">
    <tableColumn id="1" xr3:uid="{00000000-0010-0000-2000-000001000000}" name="Objetivo" totalsRowLabel="Total">
      <calculatedColumnFormula>IF(Obj_CS32[[#This Row],[Descripción]]="","",ROW()-ROW(Obj_CS32[[#Headers],[Objetivo]]))</calculatedColumnFormula>
    </tableColumn>
    <tableColumn id="2" xr3:uid="{00000000-0010-0000-2000-000002000000}" name="Descripción"/>
    <tableColumn id="3" xr3:uid="{00000000-0010-0000-2000-000003000000}" name="Finalizado"/>
    <tableColumn id="4" xr3:uid="{00000000-0010-0000-2000-000004000000}" name="Responsable"/>
    <tableColumn id="5" xr3:uid="{00000000-0010-0000-2000-000005000000}" totalsRowFunction="sum" name="Tiempo estimado"/>
    <tableColumn id="6" xr3:uid="{00000000-0010-0000-2000-000006000000}" totalsRowFunction="sum" name="Tiempo total"/>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Obj_CS33" displayName="Obj_CS33" ref="A16:F18" totalsRowCount="1">
  <autoFilter ref="A16:F17" xr:uid="{00000000-0009-0000-0100-000022000000}"/>
  <tableColumns count="6">
    <tableColumn id="1" xr3:uid="{00000000-0010-0000-2100-000001000000}" name="Objetivo" totalsRowLabel="Total">
      <calculatedColumnFormula>IF(Obj_CS33[[#This Row],[Descripción]]="","",ROW()-ROW(Obj_CS33[[#Headers],[Objetivo]]))</calculatedColumnFormula>
    </tableColumn>
    <tableColumn id="2" xr3:uid="{00000000-0010-0000-2100-000002000000}" name="Descripción"/>
    <tableColumn id="3" xr3:uid="{00000000-0010-0000-2100-000003000000}" name="Finalizado"/>
    <tableColumn id="4" xr3:uid="{00000000-0010-0000-2100-000004000000}" name="Responsable"/>
    <tableColumn id="5" xr3:uid="{00000000-0010-0000-2100-000005000000}" totalsRowFunction="sum" name="Tiempo estimado"/>
    <tableColumn id="6" xr3:uid="{00000000-0010-0000-2100-000006000000}" totalsRowFunction="sum" name="Tiempo total"/>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Obj_CS34" displayName="Obj_CS34" ref="A16:F18" totalsRowCount="1">
  <autoFilter ref="A16:F17" xr:uid="{00000000-0009-0000-0100-000023000000}"/>
  <tableColumns count="6">
    <tableColumn id="1" xr3:uid="{00000000-0010-0000-2200-000001000000}" name="Objetivo" totalsRowLabel="Total">
      <calculatedColumnFormula>IF(Obj_CS34[[#This Row],[Descripción]]="","",ROW()-ROW(Obj_CS34[[#Headers],[Objetivo]]))</calculatedColumnFormula>
    </tableColumn>
    <tableColumn id="2" xr3:uid="{00000000-0010-0000-2200-000002000000}" name="Descripción"/>
    <tableColumn id="3" xr3:uid="{00000000-0010-0000-2200-000003000000}" name="Finalizado"/>
    <tableColumn id="4" xr3:uid="{00000000-0010-0000-2200-000004000000}" name="Responsable"/>
    <tableColumn id="5" xr3:uid="{00000000-0010-0000-2200-000005000000}" totalsRowFunction="sum" name="Tiempo estimado"/>
    <tableColumn id="6" xr3:uid="{00000000-0010-0000-2200-000006000000}" totalsRowFunction="sum" name="Tiempo total"/>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Obj_CS35" displayName="Obj_CS35" ref="A16:F18" totalsRowCount="1">
  <autoFilter ref="A16:F17" xr:uid="{00000000-0009-0000-0100-000024000000}"/>
  <tableColumns count="6">
    <tableColumn id="1" xr3:uid="{00000000-0010-0000-2300-000001000000}" name="Objetivo" totalsRowLabel="Total">
      <calculatedColumnFormula>IF(Obj_CS35[[#This Row],[Descripción]]="","",ROW()-ROW(Obj_CS35[[#Headers],[Objetivo]]))</calculatedColumnFormula>
    </tableColumn>
    <tableColumn id="2" xr3:uid="{00000000-0010-0000-2300-000002000000}" name="Descripción"/>
    <tableColumn id="3" xr3:uid="{00000000-0010-0000-2300-000003000000}" name="Finalizado"/>
    <tableColumn id="4" xr3:uid="{00000000-0010-0000-2300-000004000000}" name="Responsable"/>
    <tableColumn id="5" xr3:uid="{00000000-0010-0000-2300-000005000000}" totalsRowFunction="sum" name="Tiempo estimado"/>
    <tableColumn id="6" xr3:uid="{00000000-0010-0000-2300-000006000000}" totalsRowFunction="sum" name="Tiempo total"/>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Obj_CS36" displayName="Obj_CS36" ref="A16:F18" totalsRowCount="1">
  <autoFilter ref="A16:F17" xr:uid="{00000000-0009-0000-0100-000025000000}"/>
  <tableColumns count="6">
    <tableColumn id="1" xr3:uid="{00000000-0010-0000-2400-000001000000}" name="Objetivo" totalsRowLabel="Total">
      <calculatedColumnFormula>IF(Obj_CS36[[#This Row],[Descripción]]="","",ROW()-ROW(Obj_CS36[[#Headers],[Objetivo]]))</calculatedColumnFormula>
    </tableColumn>
    <tableColumn id="2" xr3:uid="{00000000-0010-0000-2400-000002000000}" name="Descripción"/>
    <tableColumn id="3" xr3:uid="{00000000-0010-0000-2400-000003000000}" name="Finalizado"/>
    <tableColumn id="4" xr3:uid="{00000000-0010-0000-2400-000004000000}" name="Responsable"/>
    <tableColumn id="5" xr3:uid="{00000000-0010-0000-2400-000005000000}" totalsRowFunction="sum" name="Tiempo estimado"/>
    <tableColumn id="6" xr3:uid="{00000000-0010-0000-2400-000006000000}" totalsRowFunction="sum" name="Tiempo total"/>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Obj_CS37" displayName="Obj_CS37" ref="A16:F18" totalsRowCount="1">
  <autoFilter ref="A16:F17" xr:uid="{00000000-0009-0000-0100-000026000000}"/>
  <tableColumns count="6">
    <tableColumn id="1" xr3:uid="{00000000-0010-0000-2500-000001000000}" name="Objetivo" totalsRowLabel="Total">
      <calculatedColumnFormula>IF(Obj_CS37[[#This Row],[Descripción]]="","",ROW()-ROW(Obj_CS37[[#Headers],[Objetivo]]))</calculatedColumnFormula>
    </tableColumn>
    <tableColumn id="2" xr3:uid="{00000000-0010-0000-2500-000002000000}" name="Descripción"/>
    <tableColumn id="3" xr3:uid="{00000000-0010-0000-2500-000003000000}" name="Finalizado"/>
    <tableColumn id="4" xr3:uid="{00000000-0010-0000-2500-000004000000}" name="Responsable"/>
    <tableColumn id="5" xr3:uid="{00000000-0010-0000-2500-000005000000}" totalsRowFunction="sum" name="Tiempo estimado"/>
    <tableColumn id="6" xr3:uid="{00000000-0010-0000-2500-000006000000}" totalsRowFunction="sum" name="Tiempo total"/>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Obj_CS38" displayName="Obj_CS38" ref="A16:F18" totalsRowCount="1">
  <autoFilter ref="A16:F17" xr:uid="{00000000-0009-0000-0100-000027000000}"/>
  <tableColumns count="6">
    <tableColumn id="1" xr3:uid="{00000000-0010-0000-2600-000001000000}" name="Objetivo" totalsRowLabel="Total">
      <calculatedColumnFormula>IF(Obj_CS38[[#This Row],[Descripción]]="","",ROW()-ROW(Obj_CS38[[#Headers],[Objetivo]]))</calculatedColumnFormula>
    </tableColumn>
    <tableColumn id="2" xr3:uid="{00000000-0010-0000-2600-000002000000}" name="Descripción"/>
    <tableColumn id="3" xr3:uid="{00000000-0010-0000-2600-000003000000}" name="Finalizado"/>
    <tableColumn id="4" xr3:uid="{00000000-0010-0000-2600-000004000000}" name="Responsable"/>
    <tableColumn id="5" xr3:uid="{00000000-0010-0000-2600-000005000000}" totalsRowFunction="sum" name="Tiempo estimado"/>
    <tableColumn id="6" xr3:uid="{00000000-0010-0000-2600-000006000000}" totalsRowFunction="sum" name="Tiempo total"/>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Obj_CS39" displayName="Obj_CS39" ref="A16:F18" totalsRowCount="1">
  <autoFilter ref="A16:F17" xr:uid="{00000000-0009-0000-0100-000028000000}"/>
  <tableColumns count="6">
    <tableColumn id="1" xr3:uid="{00000000-0010-0000-2700-000001000000}" name="Objetivo" totalsRowLabel="Total">
      <calculatedColumnFormula>IF(Obj_CS39[[#This Row],[Descripción]]="","",ROW()-ROW(Obj_CS39[[#Headers],[Objetivo]]))</calculatedColumnFormula>
    </tableColumn>
    <tableColumn id="2" xr3:uid="{00000000-0010-0000-2700-000002000000}" name="Descripción"/>
    <tableColumn id="3" xr3:uid="{00000000-0010-0000-2700-000003000000}" name="Finalizado"/>
    <tableColumn id="4" xr3:uid="{00000000-0010-0000-2700-000004000000}" name="Responsable"/>
    <tableColumn id="5" xr3:uid="{00000000-0010-0000-2700-000005000000}" totalsRowFunction="sum" name="Tiempo estimado"/>
    <tableColumn id="6" xr3:uid="{00000000-0010-0000-2700-000006000000}" totalsRowFunction="sum" name="Tiempo total"/>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Obj_CS40" displayName="Obj_CS40" ref="A16:F18" totalsRowCount="1">
  <autoFilter ref="A16:F17" xr:uid="{00000000-0009-0000-0100-000029000000}"/>
  <tableColumns count="6">
    <tableColumn id="1" xr3:uid="{00000000-0010-0000-2800-000001000000}" name="Objetivo" totalsRowLabel="Total">
      <calculatedColumnFormula>IF(Obj_CS40[[#This Row],[Descripción]]="","",ROW()-ROW(Obj_CS40[[#Headers],[Objetivo]]))</calculatedColumnFormula>
    </tableColumn>
    <tableColumn id="2" xr3:uid="{00000000-0010-0000-2800-000002000000}" name="Descripción"/>
    <tableColumn id="3" xr3:uid="{00000000-0010-0000-2800-000003000000}" name="Finalizado"/>
    <tableColumn id="4" xr3:uid="{00000000-0010-0000-2800-000004000000}" name="Responsable"/>
    <tableColumn id="5" xr3:uid="{00000000-0010-0000-2800-000005000000}" totalsRowFunction="sum" name="Tiempo estimado"/>
    <tableColumn id="6" xr3:uid="{00000000-0010-0000-2800-000006000000}" totalsRowFunction="sum" name="Tiempo total"/>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Obj_CS41" displayName="Obj_CS41" ref="A16:F18" totalsRowCount="1">
  <autoFilter ref="A16:F17" xr:uid="{00000000-0009-0000-0100-00002A000000}"/>
  <tableColumns count="6">
    <tableColumn id="1" xr3:uid="{00000000-0010-0000-2900-000001000000}" name="Objetivo" totalsRowLabel="Total">
      <calculatedColumnFormula>IF(Obj_CS41[[#This Row],[Descripción]]="","",ROW()-ROW(Obj_CS41[[#Headers],[Objetivo]]))</calculatedColumnFormula>
    </tableColumn>
    <tableColumn id="2" xr3:uid="{00000000-0010-0000-2900-000002000000}" name="Descripción"/>
    <tableColumn id="3" xr3:uid="{00000000-0010-0000-2900-000003000000}" name="Finalizado"/>
    <tableColumn id="4" xr3:uid="{00000000-0010-0000-2900-000004000000}" name="Responsable"/>
    <tableColumn id="5" xr3:uid="{00000000-0010-0000-2900-000005000000}" totalsRowFunction="sum" name="Tiempo estimado"/>
    <tableColumn id="6" xr3:uid="{00000000-0010-0000-2900-000006000000}" totalsRowFunction="sum" name="Tiempo total"/>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Obj_CS42" displayName="Obj_CS42" ref="A16:F18" totalsRowCount="1">
  <autoFilter ref="A16:F17" xr:uid="{00000000-0009-0000-0100-00002B000000}"/>
  <tableColumns count="6">
    <tableColumn id="1" xr3:uid="{00000000-0010-0000-2A00-000001000000}" name="Objetivo" totalsRowLabel="Total">
      <calculatedColumnFormula>IF(Obj_CS42[[#This Row],[Descripción]]="","",ROW()-ROW(Obj_CS42[[#Headers],[Objetivo]]))</calculatedColumnFormula>
    </tableColumn>
    <tableColumn id="2" xr3:uid="{00000000-0010-0000-2A00-000002000000}" name="Descripción"/>
    <tableColumn id="3" xr3:uid="{00000000-0010-0000-2A00-000003000000}" name="Finalizado"/>
    <tableColumn id="4" xr3:uid="{00000000-0010-0000-2A00-000004000000}" name="Responsable"/>
    <tableColumn id="5" xr3:uid="{00000000-0010-0000-2A00-000005000000}" totalsRowFunction="sum" name="Tiempo estimado"/>
    <tableColumn id="6" xr3:uid="{00000000-0010-0000-2A00-000006000000}" totalsRowFunction="sum" name="Tiempo total"/>
  </tableColumns>
  <tableStyleInfo name="TableStyleLight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Obj_CS43" displayName="Obj_CS43" ref="A16:F18" totalsRowCount="1">
  <autoFilter ref="A16:F17" xr:uid="{00000000-0009-0000-0100-00002C000000}"/>
  <tableColumns count="6">
    <tableColumn id="1" xr3:uid="{00000000-0010-0000-2B00-000001000000}" name="Objetivo" totalsRowLabel="Total">
      <calculatedColumnFormula>IF(Obj_CS43[[#This Row],[Descripción]]="","",ROW()-ROW(Obj_CS43[[#Headers],[Objetivo]]))</calculatedColumnFormula>
    </tableColumn>
    <tableColumn id="2" xr3:uid="{00000000-0010-0000-2B00-000002000000}" name="Descripción"/>
    <tableColumn id="3" xr3:uid="{00000000-0010-0000-2B00-000003000000}" name="Finalizado"/>
    <tableColumn id="4" xr3:uid="{00000000-0010-0000-2B00-000004000000}" name="Responsable"/>
    <tableColumn id="5" xr3:uid="{00000000-0010-0000-2B00-000005000000}" totalsRowFunction="sum" name="Tiempo estimado"/>
    <tableColumn id="6" xr3:uid="{00000000-0010-0000-2B00-000006000000}" totalsRowFunction="sum" name="Tiempo total"/>
  </tableColumns>
  <tableStyleInfo name="TableStyleLight1"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Obj_CS44" displayName="Obj_CS44" ref="A16:F18" totalsRowCount="1">
  <autoFilter ref="A16:F17" xr:uid="{00000000-0009-0000-0100-00002D000000}"/>
  <tableColumns count="6">
    <tableColumn id="1" xr3:uid="{00000000-0010-0000-2C00-000001000000}" name="Objetivo" totalsRowLabel="Total">
      <calculatedColumnFormula>IF(Obj_CS44[[#This Row],[Descripción]]="","",ROW()-ROW(Obj_CS44[[#Headers],[Objetivo]]))</calculatedColumnFormula>
    </tableColumn>
    <tableColumn id="2" xr3:uid="{00000000-0010-0000-2C00-000002000000}" name="Descripción"/>
    <tableColumn id="3" xr3:uid="{00000000-0010-0000-2C00-000003000000}" name="Finalizado"/>
    <tableColumn id="4" xr3:uid="{00000000-0010-0000-2C00-000004000000}" name="Responsable"/>
    <tableColumn id="5" xr3:uid="{00000000-0010-0000-2C00-000005000000}" totalsRowFunction="sum" name="Tiempo estimado"/>
    <tableColumn id="6" xr3:uid="{00000000-0010-0000-2C00-000006000000}" totalsRowFunction="sum" name="Tiempo total"/>
  </tableColumns>
  <tableStyleInfo name="TableStyleLight1"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Obj_CS45" displayName="Obj_CS45" ref="A16:F27" totalsRowCount="1">
  <autoFilter ref="A16:F26" xr:uid="{00000000-0009-0000-0100-00002E000000}"/>
  <tableColumns count="6">
    <tableColumn id="1" xr3:uid="{00000000-0010-0000-2D00-000001000000}" name="Objetivo" totalsRowLabel="Total" dataDxfId="352" totalsRowDxfId="353">
      <calculatedColumnFormula>IF(Obj_CS45[[#This Row],[Descripción]]="","",ROW()-ROW(Obj_CS45[[#Headers],[Objetivo]]))</calculatedColumnFormula>
    </tableColumn>
    <tableColumn id="2" xr3:uid="{00000000-0010-0000-2D00-000002000000}" name="Descripción" dataDxfId="350" totalsRowDxfId="351"/>
    <tableColumn id="3" xr3:uid="{00000000-0010-0000-2D00-000003000000}" name="Finalizado" dataDxfId="348" totalsRowDxfId="349"/>
    <tableColumn id="4" xr3:uid="{00000000-0010-0000-2D00-000004000000}" name="Responsable" dataDxfId="346" totalsRowDxfId="347"/>
    <tableColumn id="5" xr3:uid="{00000000-0010-0000-2D00-000005000000}" name="Tiempo estimado" totalsRowFunction="sum" dataDxfId="344" totalsRowDxfId="345"/>
    <tableColumn id="6" xr3:uid="{00000000-0010-0000-2D00-000006000000}" name="Tiempo total" totalsRowFunction="sum" dataDxfId="342" totalsRowDxfId="343"/>
  </tableColumns>
  <tableStyleInfo name="TableStyleLight1"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Obj_CS46" displayName="Obj_CS46" ref="A16:F18" totalsRowCount="1">
  <autoFilter ref="A16:F17" xr:uid="{00000000-0009-0000-0100-00002F000000}"/>
  <tableColumns count="6">
    <tableColumn id="1" xr3:uid="{00000000-0010-0000-2E00-000001000000}" name="Objetivo" totalsRowLabel="Total">
      <calculatedColumnFormula>IF(Obj_CS46[[#This Row],[Descripción]]="","",ROW()-ROW(Obj_CS46[[#Headers],[Objetivo]]))</calculatedColumnFormula>
    </tableColumn>
    <tableColumn id="2" xr3:uid="{00000000-0010-0000-2E00-000002000000}" name="Descripción"/>
    <tableColumn id="3" xr3:uid="{00000000-0010-0000-2E00-000003000000}" name="Finalizado"/>
    <tableColumn id="4" xr3:uid="{00000000-0010-0000-2E00-000004000000}" name="Responsable"/>
    <tableColumn id="5" xr3:uid="{00000000-0010-0000-2E00-000005000000}" totalsRowFunction="sum" name="Tiempo estimado"/>
    <tableColumn id="6" xr3:uid="{00000000-0010-0000-2E00-000006000000}" totalsRowFunction="sum" name="Tiempo total"/>
  </tableColumns>
  <tableStyleInfo name="TableStyleLight1"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Obj_CS47" displayName="Obj_CS47" ref="A16:F28" totalsRowCount="1">
  <autoFilter ref="A16:F27" xr:uid="{00000000-0009-0000-0100-000030000000}"/>
  <tableColumns count="6">
    <tableColumn id="1" xr3:uid="{00000000-0010-0000-2F00-000001000000}" name="Objetivo" totalsRowLabel="Total">
      <calculatedColumnFormula>IF(Obj_CS47[[#This Row],[Descripción]]="","",ROW()-ROW(Obj_CS47[[#Headers],[Objetivo]]))</calculatedColumnFormula>
    </tableColumn>
    <tableColumn id="2" xr3:uid="{00000000-0010-0000-2F00-000002000000}" name="Descripción"/>
    <tableColumn id="3" xr3:uid="{00000000-0010-0000-2F00-000003000000}" name="Finalizado"/>
    <tableColumn id="4" xr3:uid="{00000000-0010-0000-2F00-000004000000}" name="Responsable"/>
    <tableColumn id="5" xr3:uid="{00000000-0010-0000-2F00-000005000000}" totalsRowFunction="sum" name="Tiempo estimado"/>
    <tableColumn id="6" xr3:uid="{00000000-0010-0000-2F00-000006000000}" totalsRowFunction="sum" name="Tiempo total"/>
  </tableColumns>
  <tableStyleInfo name="TableStyleLight1"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Obj_CS48" displayName="Obj_CS48" ref="A16:F27" totalsRowCount="1">
  <autoFilter ref="A16:F26" xr:uid="{00000000-0009-0000-0100-000031000000}"/>
  <tableColumns count="6">
    <tableColumn id="1" xr3:uid="{00000000-0010-0000-3000-000001000000}" name="Objetivo" totalsRowLabel="Total" dataDxfId="296" totalsRowDxfId="297">
      <calculatedColumnFormula>IF(Obj_CS48[[#This Row],[Descripción]]="","",ROW()-ROW(Obj_CS48[[#Headers],[Objetivo]]))</calculatedColumnFormula>
    </tableColumn>
    <tableColumn id="2" xr3:uid="{00000000-0010-0000-3000-000002000000}" name="Descripción" dataDxfId="294" totalsRowDxfId="295"/>
    <tableColumn id="3" xr3:uid="{00000000-0010-0000-3000-000003000000}" name="Finalizado" dataDxfId="292" totalsRowDxfId="293"/>
    <tableColumn id="4" xr3:uid="{00000000-0010-0000-3000-000004000000}" name="Responsable" dataDxfId="290" totalsRowDxfId="291"/>
    <tableColumn id="5" xr3:uid="{00000000-0010-0000-3000-000005000000}" name="Tiempo estimado" totalsRowFunction="sum" dataDxfId="288" totalsRowDxfId="289"/>
    <tableColumn id="6" xr3:uid="{00000000-0010-0000-3000-000006000000}" name="Tiempo total" totalsRowFunction="sum" dataDxfId="286" totalsRowDxfId="287"/>
  </tableColumns>
  <tableStyleInfo name="TableStyleLight1"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Obj_CS49" displayName="Obj_CS49" ref="A16:F26" totalsRowCount="1">
  <autoFilter ref="A16:F25" xr:uid="{00000000-0009-0000-0100-000032000000}"/>
  <tableColumns count="6">
    <tableColumn id="1" xr3:uid="{00000000-0010-0000-3100-000001000000}" name="Objetivo" totalsRowLabel="Total">
      <calculatedColumnFormula>IF(Obj_CS49[[#This Row],[Descripción]]="","",ROW()-ROW(Obj_CS49[[#Headers],[Objetivo]]))</calculatedColumnFormula>
    </tableColumn>
    <tableColumn id="2" xr3:uid="{00000000-0010-0000-3100-000002000000}" name="Descripción"/>
    <tableColumn id="3" xr3:uid="{00000000-0010-0000-3100-000003000000}" name="Finalizado"/>
    <tableColumn id="4" xr3:uid="{00000000-0010-0000-3100-000004000000}" name="Responsable"/>
    <tableColumn id="5" xr3:uid="{00000000-0010-0000-3100-000005000000}" totalsRowFunction="sum" name="Tiempo estimado"/>
    <tableColumn id="6" xr3:uid="{00000000-0010-0000-3100-000006000000}" totalsRowFunction="sum" name="Tiempo total"/>
  </tableColumns>
  <tableStyleInfo name="TableStyleLight1"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Obj_CS50" displayName="Obj_CS50" ref="A16:F18" totalsRowCount="1">
  <autoFilter ref="A16:F17" xr:uid="{00000000-0009-0000-0100-000033000000}"/>
  <tableColumns count="6">
    <tableColumn id="1" xr3:uid="{00000000-0010-0000-3200-000001000000}" name="Objetivo" totalsRowLabel="Total">
      <calculatedColumnFormula>IF(Obj_CS50[[#This Row],[Descripción]]="","",ROW()-ROW(Obj_CS50[[#Headers],[Objetivo]]))</calculatedColumnFormula>
    </tableColumn>
    <tableColumn id="2" xr3:uid="{00000000-0010-0000-3200-000002000000}" name="Descripción"/>
    <tableColumn id="3" xr3:uid="{00000000-0010-0000-3200-000003000000}" name="Finalizado"/>
    <tableColumn id="4" xr3:uid="{00000000-0010-0000-3200-000004000000}" name="Responsable"/>
    <tableColumn id="5" xr3:uid="{00000000-0010-0000-3200-000005000000}" totalsRowFunction="sum" name="Tiempo estimado"/>
    <tableColumn id="6" xr3:uid="{00000000-0010-0000-3200-000006000000}" totalsRowFunction="sum" name="Tiempo total"/>
  </tableColumns>
  <tableStyleInfo name="TableStyleLight1"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Obj_CS51" displayName="Obj_CS51" ref="A16:F18" totalsRowCount="1">
  <autoFilter ref="A16:F17" xr:uid="{00000000-0009-0000-0100-000034000000}"/>
  <tableColumns count="6">
    <tableColumn id="1" xr3:uid="{00000000-0010-0000-3300-000001000000}" name="Objetivo" totalsRowLabel="Total">
      <calculatedColumnFormula>IF(Obj_CS51[[#This Row],[Descripción]]="","",ROW()-ROW(Obj_CS51[[#Headers],[Objetivo]]))</calculatedColumnFormula>
    </tableColumn>
    <tableColumn id="2" xr3:uid="{00000000-0010-0000-3300-000002000000}" name="Descripción"/>
    <tableColumn id="3" xr3:uid="{00000000-0010-0000-3300-000003000000}" name="Finalizado"/>
    <tableColumn id="4" xr3:uid="{00000000-0010-0000-3300-000004000000}" name="Responsable"/>
    <tableColumn id="5" xr3:uid="{00000000-0010-0000-3300-000005000000}" totalsRowFunction="sum" name="Tiempo estimado"/>
    <tableColumn id="6" xr3:uid="{00000000-0010-0000-3300-000006000000}" totalsRowFunction="sum" name="Tiempo total"/>
  </tableColumns>
  <tableStyleInfo name="TableStyleLight1"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Obj_CS52" displayName="Obj_CS52" ref="A16:F18" totalsRowCount="1">
  <autoFilter ref="A16:F17" xr:uid="{00000000-0009-0000-0100-000035000000}"/>
  <tableColumns count="6">
    <tableColumn id="1" xr3:uid="{00000000-0010-0000-3400-000001000000}" name="Objetivo" totalsRowLabel="Total">
      <calculatedColumnFormula>IF(Obj_CS52[[#This Row],[Descripción]]="","",ROW()-ROW(Obj_CS52[[#Headers],[Objetivo]]))</calculatedColumnFormula>
    </tableColumn>
    <tableColumn id="2" xr3:uid="{00000000-0010-0000-3400-000002000000}" name="Descripción"/>
    <tableColumn id="3" xr3:uid="{00000000-0010-0000-3400-000003000000}" name="Finalizado"/>
    <tableColumn id="4" xr3:uid="{00000000-0010-0000-3400-000004000000}" name="Responsable"/>
    <tableColumn id="5" xr3:uid="{00000000-0010-0000-3400-000005000000}" totalsRowFunction="sum" name="Tiempo estimado"/>
    <tableColumn id="6" xr3:uid="{00000000-0010-0000-3400-000006000000}" totalsRowFunction="sum" name="Tiempo total"/>
  </tableColumns>
  <tableStyleInfo name="TableStyleLight1"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Obj_CS53" displayName="Obj_CS53" ref="A16:F18" totalsRowCount="1">
  <autoFilter ref="A16:F17" xr:uid="{00000000-0009-0000-0100-000036000000}"/>
  <tableColumns count="6">
    <tableColumn id="1" xr3:uid="{00000000-0010-0000-3500-000001000000}" name="Objetivo" totalsRowLabel="Total">
      <calculatedColumnFormula>IF(Obj_CS53[[#This Row],[Descripción]]="","",ROW()-ROW(Obj_CS53[[#Headers],[Objetivo]]))</calculatedColumnFormula>
    </tableColumn>
    <tableColumn id="2" xr3:uid="{00000000-0010-0000-3500-000002000000}" name="Descripción"/>
    <tableColumn id="3" xr3:uid="{00000000-0010-0000-3500-000003000000}" name="Finalizado"/>
    <tableColumn id="4" xr3:uid="{00000000-0010-0000-3500-000004000000}" name="Responsable"/>
    <tableColumn id="5" xr3:uid="{00000000-0010-0000-3500-000005000000}" totalsRowFunction="sum" name="Tiempo estimado"/>
    <tableColumn id="6" xr3:uid="{00000000-0010-0000-3500-000006000000}" totalsRowFunction="sum" name="Tiempo total"/>
  </tableColumns>
  <tableStyleInfo name="TableStyleLight1"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Obj_CS54" displayName="Obj_CS54" ref="A16:F18" totalsRowCount="1">
  <autoFilter ref="A16:F17" xr:uid="{00000000-0009-0000-0100-000037000000}"/>
  <tableColumns count="6">
    <tableColumn id="1" xr3:uid="{00000000-0010-0000-3600-000001000000}" name="Objetivo" totalsRowLabel="Total">
      <calculatedColumnFormula>IF(Obj_CS54[[#This Row],[Descripción]]="","",ROW()-ROW(Obj_CS54[[#Headers],[Objetivo]]))</calculatedColumnFormula>
    </tableColumn>
    <tableColumn id="2" xr3:uid="{00000000-0010-0000-3600-000002000000}" name="Descripción"/>
    <tableColumn id="3" xr3:uid="{00000000-0010-0000-3600-000003000000}" name="Finalizado"/>
    <tableColumn id="4" xr3:uid="{00000000-0010-0000-3600-000004000000}" name="Responsable"/>
    <tableColumn id="5" xr3:uid="{00000000-0010-0000-3600-000005000000}" totalsRowFunction="sum" name="Tiempo estimado"/>
    <tableColumn id="6" xr3:uid="{00000000-0010-0000-3600-000006000000}" totalsRowFunction="sum" name="Tiempo total"/>
  </tableColumns>
  <tableStyleInfo name="TableStyleLight1"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Obj_CS55" displayName="Obj_CS55" ref="A16:F18" totalsRowCount="1">
  <autoFilter ref="A16:F17" xr:uid="{00000000-0009-0000-0100-000038000000}"/>
  <tableColumns count="6">
    <tableColumn id="1" xr3:uid="{00000000-0010-0000-3700-000001000000}" name="Objetivo" totalsRowLabel="Total">
      <calculatedColumnFormula>IF(Obj_CS55[[#This Row],[Descripción]]="","",ROW()-ROW(Obj_CS55[[#Headers],[Objetivo]]))</calculatedColumnFormula>
    </tableColumn>
    <tableColumn id="2" xr3:uid="{00000000-0010-0000-3700-000002000000}" name="Descripción"/>
    <tableColumn id="3" xr3:uid="{00000000-0010-0000-3700-000003000000}" name="Finalizado"/>
    <tableColumn id="4" xr3:uid="{00000000-0010-0000-3700-000004000000}" name="Responsable"/>
    <tableColumn id="5" xr3:uid="{00000000-0010-0000-3700-000005000000}" totalsRowFunction="sum" name="Tiempo estimado"/>
    <tableColumn id="6" xr3:uid="{00000000-0010-0000-3700-000006000000}" totalsRowFunction="sum" name="Tiempo total"/>
  </tableColumns>
  <tableStyleInfo name="TableStyleLight1"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Obj_CS56" displayName="Obj_CS56" ref="A16:F18" totalsRowCount="1">
  <autoFilter ref="A16:F17" xr:uid="{00000000-0009-0000-0100-000039000000}"/>
  <tableColumns count="6">
    <tableColumn id="1" xr3:uid="{00000000-0010-0000-3800-000001000000}" name="Objetivo" totalsRowLabel="Total">
      <calculatedColumnFormula>IF(Obj_CS56[[#This Row],[Descripción]]="","",ROW()-ROW(Obj_CS56[[#Headers],[Objetivo]]))</calculatedColumnFormula>
    </tableColumn>
    <tableColumn id="2" xr3:uid="{00000000-0010-0000-3800-000002000000}" name="Descripción"/>
    <tableColumn id="3" xr3:uid="{00000000-0010-0000-3800-000003000000}" name="Finalizado"/>
    <tableColumn id="4" xr3:uid="{00000000-0010-0000-3800-000004000000}" name="Responsable"/>
    <tableColumn id="5" xr3:uid="{00000000-0010-0000-3800-000005000000}" totalsRowFunction="sum" name="Tiempo estimado"/>
    <tableColumn id="6" xr3:uid="{00000000-0010-0000-3800-000006000000}" totalsRowFunction="sum" name="Tiempo total"/>
  </tableColumns>
  <tableStyleInfo name="TableStyleLight1"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Obj_CS57" displayName="Obj_CS57" ref="A16:F25" totalsRowCount="1">
  <autoFilter ref="A16:F24" xr:uid="{00000000-0009-0000-0100-00003A000000}"/>
  <tableColumns count="6">
    <tableColumn id="1" xr3:uid="{00000000-0010-0000-3900-000001000000}" name="Objetivo" totalsRowLabel="Total">
      <calculatedColumnFormula>IF(Obj_CS57[[#This Row],[Descripción]]="","",ROW()-ROW(Obj_CS57[[#Headers],[Objetivo]]))</calculatedColumnFormula>
    </tableColumn>
    <tableColumn id="2" xr3:uid="{00000000-0010-0000-3900-000002000000}" name="Descripción"/>
    <tableColumn id="3" xr3:uid="{00000000-0010-0000-3900-000003000000}" name="Finalizado"/>
    <tableColumn id="4" xr3:uid="{00000000-0010-0000-3900-000004000000}" name="Responsable"/>
    <tableColumn id="5" xr3:uid="{00000000-0010-0000-3900-000005000000}" totalsRowFunction="sum" name="Tiempo estimado"/>
    <tableColumn id="6" xr3:uid="{00000000-0010-0000-3900-000006000000}" totalsRowFunction="sum" name="Tiempo total"/>
  </tableColumns>
  <tableStyleInfo name="TableStyleLight1"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0000000-000C-0000-FFFF-FFFF3A000000}" name="Obj_CS58" displayName="Obj_CS58" ref="A16:F18" totalsRowCount="1">
  <autoFilter ref="A16:F17" xr:uid="{00000000-0009-0000-0100-00003B000000}"/>
  <tableColumns count="6">
    <tableColumn id="1" xr3:uid="{00000000-0010-0000-3A00-000001000000}" name="Objetivo" totalsRowLabel="Total">
      <calculatedColumnFormula>IF(Obj_CS58[[#This Row],[Descripción]]="","",ROW()-ROW(Obj_CS58[[#Headers],[Objetivo]]))</calculatedColumnFormula>
    </tableColumn>
    <tableColumn id="2" xr3:uid="{00000000-0010-0000-3A00-000002000000}" name="Descripción"/>
    <tableColumn id="3" xr3:uid="{00000000-0010-0000-3A00-000003000000}" name="Finalizado"/>
    <tableColumn id="4" xr3:uid="{00000000-0010-0000-3A00-000004000000}" name="Responsable"/>
    <tableColumn id="5" xr3:uid="{00000000-0010-0000-3A00-000005000000}" totalsRowFunction="sum" name="Tiempo estimado"/>
    <tableColumn id="6" xr3:uid="{00000000-0010-0000-3A00-000006000000}" totalsRowFunction="sum" name="Tiempo total"/>
  </tableColumns>
  <tableStyleInfo name="TableStyleLight1"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0000000-000C-0000-FFFF-FFFF3B000000}" name="Obj_CS59" displayName="Obj_CS59" ref="A16:F24" totalsRowCount="1">
  <autoFilter ref="A16:F23" xr:uid="{00000000-0009-0000-0100-00003C000000}"/>
  <tableColumns count="6">
    <tableColumn id="1" xr3:uid="{00000000-0010-0000-3B00-000001000000}" name="Objetivo" totalsRowLabel="Total">
      <calculatedColumnFormula>IF(Obj_CS59[[#This Row],[Descripción]]="","",ROW()-ROW(Obj_CS59[[#Headers],[Objetivo]]))</calculatedColumnFormula>
    </tableColumn>
    <tableColumn id="2" xr3:uid="{00000000-0010-0000-3B00-000002000000}" name="Descripción"/>
    <tableColumn id="3" xr3:uid="{00000000-0010-0000-3B00-000003000000}" name="Finalizado"/>
    <tableColumn id="4" xr3:uid="{00000000-0010-0000-3B00-000004000000}" name="Responsable"/>
    <tableColumn id="5" xr3:uid="{00000000-0010-0000-3B00-000005000000}" totalsRowFunction="sum" name="Tiempo estimado"/>
    <tableColumn id="6" xr3:uid="{00000000-0010-0000-3B00-000006000000}" totalsRowFunction="sum" name="Tiempo total"/>
  </tableColumns>
  <tableStyleInfo name="TableStyleLight1"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0000000-000C-0000-FFFF-FFFF3C000000}" name="Obj_CS60" displayName="Obj_CS60" ref="A16:F22" totalsRowCount="1">
  <autoFilter ref="A16:F21" xr:uid="{00000000-0009-0000-0100-00003D000000}"/>
  <tableColumns count="6">
    <tableColumn id="1" xr3:uid="{00000000-0010-0000-3C00-000001000000}" name="Objetivo" totalsRowLabel="Total" dataDxfId="115">
      <calculatedColumnFormula>IF(Obj_CS60[[#This Row],[Descripción]]="","",ROW()-ROW(Obj_CS60[[#Headers],[Objetivo]]))</calculatedColumnFormula>
    </tableColumn>
    <tableColumn id="2" xr3:uid="{00000000-0010-0000-3C00-000002000000}" name="Descripción" dataDxfId="114"/>
    <tableColumn id="3" xr3:uid="{00000000-0010-0000-3C00-000003000000}" name="Finalizado" dataDxfId="113"/>
    <tableColumn id="4" xr3:uid="{00000000-0010-0000-3C00-000004000000}" name="Responsable" dataDxfId="112"/>
    <tableColumn id="5" xr3:uid="{00000000-0010-0000-3C00-000005000000}" totalsRowFunction="sum" name="Tiempo estimado" dataDxfId="111"/>
    <tableColumn id="6" xr3:uid="{00000000-0010-0000-3C00-000006000000}" totalsRowFunction="sum" name="Tiempo total" dataDxfId="110"/>
  </tableColumns>
  <tableStyleInfo name="TableStyleLight1"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EC73E723-760E-4F8C-B6F1-5A990A957DEB}" name="Obj_CS61" displayName="Obj_CS61" ref="A16:F33" totalsRowCount="1">
  <autoFilter ref="A16:F32" xr:uid="{B16AEB32-FEC8-456E-9A94-EC934B3740F6}"/>
  <tableColumns count="6">
    <tableColumn id="1" xr3:uid="{625A1008-26BB-4923-AB78-12314F0551A0}" name="Objetivo" totalsRowLabel="Total" dataDxfId="92" totalsRowDxfId="93">
      <calculatedColumnFormula>IF(Obj_CS61[[#This Row],[Descripción]]="","",ROW()-ROW(Obj_CS61[[#Headers],[Objetivo]]))</calculatedColumnFormula>
    </tableColumn>
    <tableColumn id="2" xr3:uid="{D7A5665F-5F13-4EEF-AC3D-99D700EB692A}" name="Descripción" dataDxfId="90" totalsRowDxfId="91"/>
    <tableColumn id="3" xr3:uid="{E092A862-68BD-42BB-9250-8EC00956A0AC}" name="Finalizado" dataDxfId="88" totalsRowDxfId="89"/>
    <tableColumn id="4" xr3:uid="{9E904C12-DE80-4882-969F-ACA587724320}" name="Responsable" dataDxfId="86" totalsRowDxfId="87"/>
    <tableColumn id="5" xr3:uid="{0CA7E4B4-2504-4DC8-AB92-24EFE8B292A2}" name="Tiempo estimado" totalsRowFunction="sum" dataDxfId="84" totalsRowDxfId="85"/>
    <tableColumn id="6" xr3:uid="{9497A945-0FFA-4A51-AD31-4AD46C1B280C}" name="Tiempo total" totalsRowFunction="sum" dataDxfId="82" totalsRowDxfId="83"/>
  </tableColumns>
  <tableStyleInfo name="TableStyleLight1"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5C039CB-F958-4D7F-B040-3530D1C4C1FD}" name="Obj_CS62" displayName="Obj_CS62" ref="A16:F29" totalsRowCount="1">
  <autoFilter ref="A16:F28" xr:uid="{117C0BCB-C206-4FB3-964A-1C2BCBA3DA73}"/>
  <tableColumns count="6">
    <tableColumn id="1" xr3:uid="{AAD094BE-C1CC-4EC5-8F2B-E113D7CECC80}" name="Objetivo" totalsRowLabel="Total" totalsRowDxfId="67">
      <calculatedColumnFormula>IF(Obj_CS62[[#This Row],[Descripción]]="","",ROW()-ROW(Obj_CS62[[#Headers],[Objetivo]]))</calculatedColumnFormula>
    </tableColumn>
    <tableColumn id="2" xr3:uid="{1267DDD7-11C8-47D8-9CDE-E65F904EFDE0}" name="Descripción" totalsRowDxfId="66"/>
    <tableColumn id="3" xr3:uid="{A69D9CC5-BAD5-4298-8BFC-14C6F379A6C8}" name="Finalizado" totalsRowDxfId="65"/>
    <tableColumn id="4" xr3:uid="{DCBA7C1E-E2D4-4D31-80A4-AEB7F7855724}" name="Responsable" totalsRowDxfId="64"/>
    <tableColumn id="5" xr3:uid="{A6BDB458-7AFB-42A1-99EF-075AD6CBD00D}" name="Tiempo estimado" totalsRowFunction="sum" totalsRowDxfId="63"/>
    <tableColumn id="6" xr3:uid="{0E763A90-6D76-40CD-978C-15EC36220A63}" name="Tiempo total" totalsRowFunction="sum" totalsRowDxfId="62"/>
  </tableColumns>
  <tableStyleInfo name="TableStyleLight1"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3C62CC5-2BE5-4ABD-A609-9A75F9CC32BC}" name="Obj_CS63" displayName="Obj_CS63" ref="A16:F28" totalsRowCount="1">
  <autoFilter ref="A16:F27" xr:uid="{615B5CDF-6A8F-463D-A46D-0092940B407A}"/>
  <tableColumns count="6">
    <tableColumn id="1" xr3:uid="{5BB371E5-C194-482D-BC5A-9122916C6EA4}" name="Objetivo" totalsRowLabel="Total" totalsRowDxfId="47">
      <calculatedColumnFormula>IF(Obj_CS63[[#This Row],[Descripción]]="","",ROW()-ROW(Obj_CS63[[#Headers],[Objetivo]]))</calculatedColumnFormula>
    </tableColumn>
    <tableColumn id="2" xr3:uid="{40BA02C3-4765-49B1-A891-E716B31A225D}" name="Descripción" totalsRowDxfId="46"/>
    <tableColumn id="3" xr3:uid="{611C8BA5-5ADD-47C3-A417-6DE3B6E9BE8D}" name="Finalizado" totalsRowDxfId="45"/>
    <tableColumn id="4" xr3:uid="{1D116577-FECA-4A2C-A744-01166D16A3BA}" name="Responsable" totalsRowDxfId="44"/>
    <tableColumn id="5" xr3:uid="{C00A838A-D2B1-4334-ADFB-E8B0F5E7BE20}" name="Tiempo estimado" totalsRowFunction="sum" totalsRowDxfId="43"/>
    <tableColumn id="6" xr3:uid="{368C4E80-A363-48C8-A46F-6625B1DCD1FF}" name="Tiempo total" totalsRowFunction="sum" totalsRowDxfId="42"/>
  </tableColumns>
  <tableStyleInfo name="TableStyleLight1"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A7C2B18F-990B-4D8D-A717-303574107A68}" name="Obj_CS64" displayName="Obj_CS64" ref="A16:F32" totalsRowCount="1">
  <autoFilter ref="A16:F31" xr:uid="{0FFC7D99-0430-4A10-80DC-39012BB575DF}"/>
  <tableColumns count="6">
    <tableColumn id="1" xr3:uid="{2B6BF6E3-3F5F-40C3-A865-66F9DCFDD001}" name="Objetivo" totalsRowLabel="Total" totalsRowDxfId="27">
      <calculatedColumnFormula>IF(Obj_CS64[[#This Row],[Descripción]]="","",ROW()-ROW(Obj_CS64[[#Headers],[Objetivo]]))</calculatedColumnFormula>
    </tableColumn>
    <tableColumn id="2" xr3:uid="{C5776EA4-C4F6-4901-BB2E-FBDC84634383}" name="Descripción" totalsRowDxfId="26"/>
    <tableColumn id="3" xr3:uid="{E25440EC-DE05-4BAC-BDFF-14C03903BF5D}" name="Finalizado" totalsRowDxfId="25"/>
    <tableColumn id="4" xr3:uid="{545B3A5E-A252-4E12-8A99-DED2D034B04A}" name="Responsable" totalsRowDxfId="24"/>
    <tableColumn id="5" xr3:uid="{007CF54D-E023-4EF2-AC81-6EEF2682EB03}" name="Tiempo estimado" totalsRowFunction="sum" totalsRowDxfId="23"/>
    <tableColumn id="6" xr3:uid="{273791E7-D4E8-4F60-918D-ACA61A74D4E4}" name="Tiempo total" totalsRowFunction="sum" totalsRowDxfId="22"/>
  </tableColumns>
  <tableStyleInfo name="TableStyleLight1"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0000000-000C-0000-FFFF-FFFF3D000000}" name="Obj_Plantilla" displayName="Obj_Plantilla" ref="A16:F18" totalsRowCount="1">
  <autoFilter ref="A16:F17" xr:uid="{00000000-0009-0000-0100-00003E000000}"/>
  <tableColumns count="6">
    <tableColumn id="1" xr3:uid="{00000000-0010-0000-3D00-000001000000}" name="Objetivo" totalsRowLabel="Total" dataDxfId="5">
      <calculatedColumnFormula>IF(Obj_Plantilla[[#This Row],[Descripción]]="","",ROW()-ROW(Obj_Plantilla[[#Headers],[Objetivo]]))</calculatedColumnFormula>
    </tableColumn>
    <tableColumn id="2" xr3:uid="{00000000-0010-0000-3D00-000002000000}" name="Descripción" dataDxfId="4"/>
    <tableColumn id="3" xr3:uid="{00000000-0010-0000-3D00-000003000000}" name="Finalizado" dataDxfId="3"/>
    <tableColumn id="4" xr3:uid="{00000000-0010-0000-3D00-000004000000}" name="Responsable" dataDxfId="2"/>
    <tableColumn id="5" xr3:uid="{00000000-0010-0000-3D00-000005000000}" totalsRowFunction="sum" name="Tiempo estimado" dataDxfId="1"/>
    <tableColumn id="6" xr3:uid="{00000000-0010-0000-3D00-000006000000}" totalsRowFunction="sum" name="Tiempo total"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8.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9.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60.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61.xml.rels><?xml version="1.0" encoding="UTF-8" standalone="yes"?>
<Relationships xmlns="http://schemas.openxmlformats.org/package/2006/relationships"><Relationship Id="rId1" Type="http://schemas.openxmlformats.org/officeDocument/2006/relationships/table" Target="../tables/table61.xml"/></Relationships>
</file>

<file path=xl/worksheets/_rels/sheet62.xml.rels><?xml version="1.0" encoding="UTF-8" standalone="yes"?>
<Relationships xmlns="http://schemas.openxmlformats.org/package/2006/relationships"><Relationship Id="rId1" Type="http://schemas.openxmlformats.org/officeDocument/2006/relationships/table" Target="../tables/table62.xml"/></Relationships>
</file>

<file path=xl/worksheets/_rels/sheet63.xml.rels><?xml version="1.0" encoding="UTF-8" standalone="yes"?>
<Relationships xmlns="http://schemas.openxmlformats.org/package/2006/relationships"><Relationship Id="rId1" Type="http://schemas.openxmlformats.org/officeDocument/2006/relationships/table" Target="../tables/table63.xml"/></Relationships>
</file>

<file path=xl/worksheets/_rels/sheet64.xml.rels><?xml version="1.0" encoding="UTF-8" standalone="yes"?>
<Relationships xmlns="http://schemas.openxmlformats.org/package/2006/relationships"><Relationship Id="rId1" Type="http://schemas.openxmlformats.org/officeDocument/2006/relationships/table" Target="../tables/table64.xml"/></Relationships>
</file>

<file path=xl/worksheets/_rels/sheet65.xml.rels><?xml version="1.0" encoding="UTF-8" standalone="yes"?>
<Relationships xmlns="http://schemas.openxmlformats.org/package/2006/relationships"><Relationship Id="rId1" Type="http://schemas.openxmlformats.org/officeDocument/2006/relationships/table" Target="../tables/table65.xml"/></Relationships>
</file>

<file path=xl/worksheets/_rels/sheet66.xml.rels><?xml version="1.0" encoding="UTF-8" standalone="yes"?>
<Relationships xmlns="http://schemas.openxmlformats.org/package/2006/relationships"><Relationship Id="rId1" Type="http://schemas.openxmlformats.org/officeDocument/2006/relationships/table" Target="../tables/table6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67"/>
  <sheetViews>
    <sheetView tabSelected="1" workbookViewId="0">
      <pane ySplit="3" topLeftCell="A47" activePane="bottomLeft" state="frozen"/>
      <selection pane="bottomLeft" activeCell="D43" sqref="D43"/>
    </sheetView>
  </sheetViews>
  <sheetFormatPr defaultRowHeight="15"/>
  <cols>
    <col min="1" max="1" width="10" customWidth="1"/>
    <col min="2" max="2" width="52" customWidth="1"/>
    <col min="3" max="3" width="13" customWidth="1"/>
    <col min="4" max="4" width="15.140625" customWidth="1"/>
    <col min="5" max="5" width="25.28515625" customWidth="1"/>
    <col min="6" max="6" width="18" customWidth="1"/>
    <col min="7" max="7" width="14" customWidth="1"/>
  </cols>
  <sheetData>
    <row r="1" spans="1:7" ht="24" customHeight="1">
      <c r="A1" s="1" t="s">
        <v>0</v>
      </c>
      <c r="F1" s="2" t="s">
        <v>1</v>
      </c>
      <c r="G1" s="3" t="str">
        <f>"CS-"&amp;TEXT(IFERROR(_xlfn.AGGREGATE(14,6,--MID(Historias[Ref],4,9),1),0)+1,"00")</f>
        <v>CS-65</v>
      </c>
    </row>
    <row r="2" spans="1:7" ht="30" customHeight="1">
      <c r="A2" s="31" t="s">
        <v>2</v>
      </c>
      <c r="B2" s="32"/>
      <c r="C2" s="32"/>
      <c r="D2" s="32"/>
      <c r="E2" s="32"/>
      <c r="F2" s="32"/>
      <c r="G2" s="32"/>
    </row>
    <row r="3" spans="1:7">
      <c r="A3" s="4" t="s">
        <v>3</v>
      </c>
      <c r="B3" s="4" t="s">
        <v>4</v>
      </c>
      <c r="C3" s="4" t="s">
        <v>5</v>
      </c>
      <c r="D3" s="4" t="s">
        <v>6</v>
      </c>
      <c r="E3" s="4" t="s">
        <v>7</v>
      </c>
      <c r="F3" s="4" t="s">
        <v>8</v>
      </c>
      <c r="G3" s="4" t="s">
        <v>9</v>
      </c>
    </row>
    <row r="4" spans="1:7" ht="18" customHeight="1">
      <c r="A4" s="5" t="s">
        <v>10</v>
      </c>
      <c r="B4" s="13" t="s">
        <v>11</v>
      </c>
      <c r="C4" s="5" t="s">
        <v>12</v>
      </c>
      <c r="D4" s="5"/>
      <c r="E4" s="6">
        <v>1</v>
      </c>
      <c r="F4" s="6">
        <f ca="1">IF(ISREF(INDIRECT("'"&amp;Historias[[#This Row],[Ref]]&amp;"'!A1")),SUMIFS(INDIRECT("'"&amp;Historias[[#This Row],[Ref]]&amp;"'!F:F"),INDIRECT("'"&amp;Historias[[#This Row],[Ref]]&amp;"'!A:A"),"&gt;0")/60,"")</f>
        <v>0.85</v>
      </c>
      <c r="G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5" spans="1:7" ht="18" customHeight="1">
      <c r="A5" s="5" t="s">
        <v>13</v>
      </c>
      <c r="B5" s="13" t="s">
        <v>14</v>
      </c>
      <c r="C5" s="5"/>
      <c r="D5" s="5"/>
      <c r="E5" s="6"/>
      <c r="F5" s="6">
        <f ca="1">IF(ISREF(INDIRECT("'"&amp;Historias[[#This Row],[Ref]]&amp;"'!A1")),SUMIFS(INDIRECT("'"&amp;Historias[[#This Row],[Ref]]&amp;"'!F:F"),INDIRECT("'"&amp;Historias[[#This Row],[Ref]]&amp;"'!A:A"),"&gt;0")/60,"")</f>
        <v>0.0</v>
      </c>
      <c r="G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 spans="1:7" ht="18" customHeight="1">
      <c r="A6" s="5" t="s">
        <v>15</v>
      </c>
      <c r="B6" s="13" t="s">
        <v>16</v>
      </c>
      <c r="C6" s="5"/>
      <c r="D6" s="5"/>
      <c r="E6" s="6"/>
      <c r="F6" s="6">
        <f ca="1">IF(ISREF(INDIRECT("'"&amp;Historias[[#This Row],[Ref]]&amp;"'!A1")),SUMIFS(INDIRECT("'"&amp;Historias[[#This Row],[Ref]]&amp;"'!F:F"),INDIRECT("'"&amp;Historias[[#This Row],[Ref]]&amp;"'!A:A"),"&gt;0")/60,"")</f>
        <v>0.0</v>
      </c>
      <c r="G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7" spans="1:7" ht="18" customHeight="1">
      <c r="A7" s="5" t="s">
        <v>17</v>
      </c>
      <c r="B7" s="13" t="s">
        <v>18</v>
      </c>
      <c r="C7" s="5" t="s">
        <v>12</v>
      </c>
      <c r="D7" s="5" t="s">
        <v>19</v>
      </c>
      <c r="E7" s="6">
        <v>5</v>
      </c>
      <c r="F7" s="6">
        <f ca="1">IF(ISREF(INDIRECT("'"&amp;Historias[[#This Row],[Ref]]&amp;"'!A1")),SUMIFS(INDIRECT("'"&amp;Historias[[#This Row],[Ref]]&amp;"'!F:F"),INDIRECT("'"&amp;Historias[[#This Row],[Ref]]&amp;"'!A:A"),"&gt;0")/60,"")</f>
        <v>0.0</v>
      </c>
      <c r="G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8" spans="1:7" ht="18" customHeight="1">
      <c r="A8" s="5" t="s">
        <v>20</v>
      </c>
      <c r="B8" s="13" t="s">
        <v>21</v>
      </c>
      <c r="C8" s="5"/>
      <c r="D8" s="5"/>
      <c r="E8" s="6"/>
      <c r="F8" s="6">
        <f ca="1">IF(ISREF(INDIRECT("'"&amp;Historias[[#This Row],[Ref]]&amp;"'!A1")),SUMIFS(INDIRECT("'"&amp;Historias[[#This Row],[Ref]]&amp;"'!F:F"),INDIRECT("'"&amp;Historias[[#This Row],[Ref]]&amp;"'!A:A"),"&gt;0")/60,"")</f>
        <v>0.0</v>
      </c>
      <c r="G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9" spans="1:7" ht="18" customHeight="1">
      <c r="A9" s="5" t="s">
        <v>22</v>
      </c>
      <c r="B9" s="13" t="s">
        <v>23</v>
      </c>
      <c r="C9" s="5"/>
      <c r="D9" s="5" t="s">
        <v>19</v>
      </c>
      <c r="E9" s="6"/>
      <c r="F9" s="6">
        <f ca="1">IF(ISREF(INDIRECT("'"&amp;Historias[[#This Row],[Ref]]&amp;"'!A1")),SUMIFS(INDIRECT("'"&amp;Historias[[#This Row],[Ref]]&amp;"'!F:F"),INDIRECT("'"&amp;Historias[[#This Row],[Ref]]&amp;"'!A:A"),"&gt;0")/60,"")</f>
        <v>0.0</v>
      </c>
      <c r="G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0" spans="1:7" ht="18" customHeight="1">
      <c r="A10" s="5" t="s">
        <v>25</v>
      </c>
      <c r="B10" s="13" t="s">
        <v>26</v>
      </c>
      <c r="C10" s="5" t="s">
        <v>12</v>
      </c>
      <c r="D10" s="5" t="s">
        <v>19</v>
      </c>
      <c r="E10" s="6">
        <v>4</v>
      </c>
      <c r="F10" s="6">
        <f ca="1">IF(ISREF(INDIRECT("'"&amp;Historias[[#This Row],[Ref]]&amp;"'!A1")),SUMIFS(INDIRECT("'"&amp;Historias[[#This Row],[Ref]]&amp;"'!F:F"),INDIRECT("'"&amp;Historias[[#This Row],[Ref]]&amp;"'!A:A"),"&gt;0")/60,"")</f>
        <v>0.0</v>
      </c>
      <c r="G1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1" spans="1:7" ht="18" customHeight="1">
      <c r="A11" s="5" t="s">
        <v>27</v>
      </c>
      <c r="B11" s="13" t="s">
        <v>28</v>
      </c>
      <c r="C11" s="5"/>
      <c r="D11" s="5"/>
      <c r="E11" s="6"/>
      <c r="F11" s="6">
        <f ca="1">IF(ISREF(INDIRECT("'"&amp;Historias[[#This Row],[Ref]]&amp;"'!A1")),SUMIFS(INDIRECT("'"&amp;Historias[[#This Row],[Ref]]&amp;"'!F:F"),INDIRECT("'"&amp;Historias[[#This Row],[Ref]]&amp;"'!A:A"),"&gt;0")/60,"")</f>
        <v>0.0</v>
      </c>
      <c r="G1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2" spans="1:7" ht="18" customHeight="1">
      <c r="A12" s="5" t="s">
        <v>29</v>
      </c>
      <c r="B12" s="13" t="s">
        <v>30</v>
      </c>
      <c r="C12" s="5"/>
      <c r="D12" s="5"/>
      <c r="E12" s="6"/>
      <c r="F12" s="6">
        <f ca="1">IF(ISREF(INDIRECT("'"&amp;Historias[[#This Row],[Ref]]&amp;"'!A1")),SUMIFS(INDIRECT("'"&amp;Historias[[#This Row],[Ref]]&amp;"'!F:F"),INDIRECT("'"&amp;Historias[[#This Row],[Ref]]&amp;"'!A:A"),"&gt;0")/60,"")</f>
        <v>0.0</v>
      </c>
      <c r="G1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3" spans="1:7" ht="18" customHeight="1">
      <c r="A13" s="5" t="s">
        <v>31</v>
      </c>
      <c r="B13" s="13" t="s">
        <v>32</v>
      </c>
      <c r="C13" s="5" t="s">
        <v>33</v>
      </c>
      <c r="D13" s="5" t="s">
        <v>19</v>
      </c>
      <c r="E13" s="6">
        <v>7</v>
      </c>
      <c r="F13" s="6">
        <f ca="1">IF(ISREF(INDIRECT("'"&amp;Historias[[#This Row],[Ref]]&amp;"'!A1")),SUMIFS(INDIRECT("'"&amp;Historias[[#This Row],[Ref]]&amp;"'!F:F"),INDIRECT("'"&amp;Historias[[#This Row],[Ref]]&amp;"'!A:A"),"&gt;0")/60,"")</f>
        <v>0.0</v>
      </c>
      <c r="G1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4" spans="1:7" ht="18" customHeight="1">
      <c r="A14" s="5" t="s">
        <v>34</v>
      </c>
      <c r="B14" s="13" t="s">
        <v>35</v>
      </c>
      <c r="C14" s="5" t="s">
        <v>33</v>
      </c>
      <c r="D14" s="5" t="s">
        <v>36</v>
      </c>
      <c r="E14" s="6">
        <v>20</v>
      </c>
      <c r="F14" s="6">
        <f ca="1">IF(ISREF(INDIRECT("'"&amp;Historias[[#This Row],[Ref]]&amp;"'!A1")),SUMIFS(INDIRECT("'"&amp;Historias[[#This Row],[Ref]]&amp;"'!F:F"),INDIRECT("'"&amp;Historias[[#This Row],[Ref]]&amp;"'!A:A"),"&gt;0")/60,"")</f>
        <v>0.0</v>
      </c>
      <c r="G1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5" spans="1:7" ht="18" customHeight="1">
      <c r="A15" s="5" t="s">
        <v>37</v>
      </c>
      <c r="B15" s="13" t="s">
        <v>38</v>
      </c>
      <c r="C15" s="5"/>
      <c r="D15" s="5" t="s">
        <v>39</v>
      </c>
      <c r="E15" s="6"/>
      <c r="F15" s="6">
        <f ca="1">IF(ISREF(INDIRECT("'"&amp;Historias[[#This Row],[Ref]]&amp;"'!A1")),SUMIFS(INDIRECT("'"&amp;Historias[[#This Row],[Ref]]&amp;"'!F:F"),INDIRECT("'"&amp;Historias[[#This Row],[Ref]]&amp;"'!A:A"),"&gt;0")/60,"")</f>
        <v>0.0</v>
      </c>
      <c r="G1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6" spans="1:7" ht="18" customHeight="1">
      <c r="A16" s="5" t="s">
        <v>40</v>
      </c>
      <c r="B16" s="13" t="s">
        <v>41</v>
      </c>
      <c r="C16" s="5" t="s">
        <v>12</v>
      </c>
      <c r="D16" s="5" t="s">
        <v>39</v>
      </c>
      <c r="E16" s="6">
        <v>20</v>
      </c>
      <c r="F16" s="6">
        <f ca="1">IF(ISREF(INDIRECT("'"&amp;Historias[[#This Row],[Ref]]&amp;"'!A1")),SUMIFS(INDIRECT("'"&amp;Historias[[#This Row],[Ref]]&amp;"'!F:F"),INDIRECT("'"&amp;Historias[[#This Row],[Ref]]&amp;"'!A:A"),"&gt;0")/60,"")</f>
        <v>0.0</v>
      </c>
      <c r="G1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7" spans="1:7" ht="18" customHeight="1">
      <c r="A17" s="5" t="s">
        <v>42</v>
      </c>
      <c r="B17" s="13" t="s">
        <v>43</v>
      </c>
      <c r="C17" s="5" t="s">
        <v>44</v>
      </c>
      <c r="D17" s="5" t="s">
        <v>36</v>
      </c>
      <c r="E17" s="6">
        <v>20</v>
      </c>
      <c r="F17" s="6">
        <f ca="1">IF(ISREF(INDIRECT("'"&amp;Historias[[#This Row],[Ref]]&amp;"'!A1")),SUMIFS(INDIRECT("'"&amp;Historias[[#This Row],[Ref]]&amp;"'!F:F"),INDIRECT("'"&amp;Historias[[#This Row],[Ref]]&amp;"'!A:A"),"&gt;0")/60,"")</f>
        <v>0.0</v>
      </c>
      <c r="G1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8" spans="1:7" ht="18" customHeight="1">
      <c r="A18" s="5" t="s">
        <v>45</v>
      </c>
      <c r="B18" s="13" t="s">
        <v>46</v>
      </c>
      <c r="C18" s="5"/>
      <c r="D18" s="5" t="s">
        <v>39</v>
      </c>
      <c r="E18" s="6"/>
      <c r="F18" s="6">
        <f ca="1">IF(ISREF(INDIRECT("'"&amp;Historias[[#This Row],[Ref]]&amp;"'!A1")),SUMIFS(INDIRECT("'"&amp;Historias[[#This Row],[Ref]]&amp;"'!F:F"),INDIRECT("'"&amp;Historias[[#This Row],[Ref]]&amp;"'!A:A"),"&gt;0")/60,"")</f>
        <v>0.0</v>
      </c>
      <c r="G1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19" spans="1:7" ht="18" customHeight="1">
      <c r="A19" s="5" t="s">
        <v>47</v>
      </c>
      <c r="B19" s="13" t="s">
        <v>48</v>
      </c>
      <c r="C19" s="5"/>
      <c r="D19" s="5" t="s">
        <v>39</v>
      </c>
      <c r="E19" s="6"/>
      <c r="F19" s="6">
        <f ca="1">IF(ISREF(INDIRECT("'"&amp;Historias[[#This Row],[Ref]]&amp;"'!A1")),SUMIFS(INDIRECT("'"&amp;Historias[[#This Row],[Ref]]&amp;"'!F:F"),INDIRECT("'"&amp;Historias[[#This Row],[Ref]]&amp;"'!A:A"),"&gt;0")/60,"")</f>
        <v>0.0</v>
      </c>
      <c r="G1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0" spans="1:7" ht="18" customHeight="1">
      <c r="A20" s="5" t="s">
        <v>49</v>
      </c>
      <c r="B20" s="13" t="s">
        <v>50</v>
      </c>
      <c r="C20" s="5" t="s">
        <v>51</v>
      </c>
      <c r="D20" s="5" t="s">
        <v>39</v>
      </c>
      <c r="E20" s="6">
        <v>40</v>
      </c>
      <c r="F20" s="6">
        <f ca="1">IF(ISREF(INDIRECT("'"&amp;Historias[[#This Row],[Ref]]&amp;"'!A1")),SUMIFS(INDIRECT("'"&amp;Historias[[#This Row],[Ref]]&amp;"'!F:F"),INDIRECT("'"&amp;Historias[[#This Row],[Ref]]&amp;"'!A:A"),"&gt;0")/60,"")</f>
        <v>0.0</v>
      </c>
      <c r="G2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1" spans="1:7" ht="18" customHeight="1">
      <c r="A21" s="5" t="s">
        <v>52</v>
      </c>
      <c r="B21" s="13" t="s">
        <v>53</v>
      </c>
      <c r="C21" s="5"/>
      <c r="D21" s="5" t="s">
        <v>39</v>
      </c>
      <c r="E21" s="6"/>
      <c r="F21" s="6">
        <f ca="1">IF(ISREF(INDIRECT("'"&amp;Historias[[#This Row],[Ref]]&amp;"'!A1")),SUMIFS(INDIRECT("'"&amp;Historias[[#This Row],[Ref]]&amp;"'!F:F"),INDIRECT("'"&amp;Historias[[#This Row],[Ref]]&amp;"'!A:A"),"&gt;0")/60,"")</f>
        <v>0.0</v>
      </c>
      <c r="G2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2" spans="1:7" ht="18" customHeight="1">
      <c r="A22" s="5" t="s">
        <v>54</v>
      </c>
      <c r="B22" s="13" t="s">
        <v>55</v>
      </c>
      <c r="C22" s="5"/>
      <c r="D22" s="5" t="s">
        <v>39</v>
      </c>
      <c r="E22" s="6"/>
      <c r="F22" s="6">
        <f ca="1">IF(ISREF(INDIRECT("'"&amp;Historias[[#This Row],[Ref]]&amp;"'!A1")),SUMIFS(INDIRECT("'"&amp;Historias[[#This Row],[Ref]]&amp;"'!F:F"),INDIRECT("'"&amp;Historias[[#This Row],[Ref]]&amp;"'!A:A"),"&gt;0")/60,"")</f>
        <v>0.0</v>
      </c>
      <c r="G2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3" spans="1:7" ht="18" customHeight="1">
      <c r="A23" s="5" t="s">
        <v>56</v>
      </c>
      <c r="B23" s="13" t="s">
        <v>57</v>
      </c>
      <c r="C23" s="5" t="s">
        <v>51</v>
      </c>
      <c r="D23" s="5" t="s">
        <v>19</v>
      </c>
      <c r="E23" s="6">
        <v>5</v>
      </c>
      <c r="F23" s="6">
        <f ca="1">IF(ISREF(INDIRECT("'"&amp;Historias[[#This Row],[Ref]]&amp;"'!A1")),SUMIFS(INDIRECT("'"&amp;Historias[[#This Row],[Ref]]&amp;"'!F:F"),INDIRECT("'"&amp;Historias[[#This Row],[Ref]]&amp;"'!A:A"),"&gt;0")/60,"")</f>
        <v>0.0</v>
      </c>
      <c r="G2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4" spans="1:7" ht="18" customHeight="1">
      <c r="A24" s="5" t="s">
        <v>58</v>
      </c>
      <c r="B24" s="13" t="s">
        <v>59</v>
      </c>
      <c r="C24" s="5"/>
      <c r="D24" s="5" t="s">
        <v>39</v>
      </c>
      <c r="E24" s="6"/>
      <c r="F24" s="6">
        <f ca="1">IF(ISREF(INDIRECT("'"&amp;Historias[[#This Row],[Ref]]&amp;"'!A1")),SUMIFS(INDIRECT("'"&amp;Historias[[#This Row],[Ref]]&amp;"'!F:F"),INDIRECT("'"&amp;Historias[[#This Row],[Ref]]&amp;"'!A:A"),"&gt;0")/60,"")</f>
        <v>0.0</v>
      </c>
      <c r="G2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5" spans="1:7" ht="18" customHeight="1">
      <c r="A25" s="5" t="s">
        <v>60</v>
      </c>
      <c r="B25" s="13" t="s">
        <v>61</v>
      </c>
      <c r="C25" s="5" t="s">
        <v>51</v>
      </c>
      <c r="D25" s="5"/>
      <c r="E25" s="6">
        <v>7</v>
      </c>
      <c r="F25" s="6">
        <f ca="1">IF(ISREF(INDIRECT("'"&amp;Historias[[#This Row],[Ref]]&amp;"'!A1")),SUMIFS(INDIRECT("'"&amp;Historias[[#This Row],[Ref]]&amp;"'!F:F"),INDIRECT("'"&amp;Historias[[#This Row],[Ref]]&amp;"'!A:A"),"&gt;0")/60,"")</f>
        <v>0.15</v>
      </c>
      <c r="G2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26" spans="1:7" ht="18" customHeight="1">
      <c r="A26" s="5" t="s">
        <v>62</v>
      </c>
      <c r="B26" s="13" t="s">
        <v>63</v>
      </c>
      <c r="C26" s="5"/>
      <c r="D26" s="5"/>
      <c r="E26" s="6"/>
      <c r="F26" s="6">
        <f ca="1">IF(ISREF(INDIRECT("'"&amp;Historias[[#This Row],[Ref]]&amp;"'!A1")),SUMIFS(INDIRECT("'"&amp;Historias[[#This Row],[Ref]]&amp;"'!F:F"),INDIRECT("'"&amp;Historias[[#This Row],[Ref]]&amp;"'!A:A"),"&gt;0")/60,"")</f>
        <v>0.0</v>
      </c>
      <c r="G2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7" spans="1:7" ht="18" customHeight="1">
      <c r="A27" s="5" t="s">
        <v>64</v>
      </c>
      <c r="B27" s="13" t="s">
        <v>65</v>
      </c>
      <c r="C27" s="5" t="s">
        <v>33</v>
      </c>
      <c r="D27" s="5"/>
      <c r="E27" s="6">
        <v>8</v>
      </c>
      <c r="F27" s="6">
        <f ca="1">IF(ISREF(INDIRECT("'"&amp;Historias[[#This Row],[Ref]]&amp;"'!A1")),SUMIFS(INDIRECT("'"&amp;Historias[[#This Row],[Ref]]&amp;"'!F:F"),INDIRECT("'"&amp;Historias[[#This Row],[Ref]]&amp;"'!A:A"),"&gt;0")/60,"")</f>
        <v>0.0</v>
      </c>
      <c r="G2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8" spans="1:7" ht="18" customHeight="1">
      <c r="A28" s="5" t="s">
        <v>66</v>
      </c>
      <c r="B28" s="13" t="s">
        <v>67</v>
      </c>
      <c r="C28" s="5" t="s">
        <v>51</v>
      </c>
      <c r="D28" s="5"/>
      <c r="E28" s="6">
        <v>10</v>
      </c>
      <c r="F28" s="6">
        <f ca="1">IF(ISREF(INDIRECT("'"&amp;Historias[[#This Row],[Ref]]&amp;"'!A1")),SUMIFS(INDIRECT("'"&amp;Historias[[#This Row],[Ref]]&amp;"'!F:F"),INDIRECT("'"&amp;Historias[[#This Row],[Ref]]&amp;"'!A:A"),"&gt;0")/60,"")</f>
        <v>0.0</v>
      </c>
      <c r="G2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29" spans="1:7" ht="18" customHeight="1">
      <c r="A29" s="5" t="s">
        <v>68</v>
      </c>
      <c r="B29" s="13" t="s">
        <v>69</v>
      </c>
      <c r="C29" s="5" t="s">
        <v>51</v>
      </c>
      <c r="D29" s="5" t="s">
        <v>36</v>
      </c>
      <c r="E29" s="6">
        <v>20</v>
      </c>
      <c r="F29" s="6">
        <f ca="1">IF(ISREF(INDIRECT("'"&amp;Historias[[#This Row],[Ref]]&amp;"'!A1")),SUMIFS(INDIRECT("'"&amp;Historias[[#This Row],[Ref]]&amp;"'!F:F"),INDIRECT("'"&amp;Historias[[#This Row],[Ref]]&amp;"'!A:A"),"&gt;0")/60,"")</f>
        <v>0.0</v>
      </c>
      <c r="G2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0" spans="1:7" ht="18" customHeight="1">
      <c r="A30" s="5" t="s">
        <v>70</v>
      </c>
      <c r="B30" s="13" t="s">
        <v>71</v>
      </c>
      <c r="C30" s="5" t="s">
        <v>51</v>
      </c>
      <c r="D30" s="5" t="s">
        <v>19</v>
      </c>
      <c r="E30" s="6">
        <v>13</v>
      </c>
      <c r="F30" s="6">
        <f ca="1">IF(ISREF(INDIRECT("'"&amp;Historias[[#This Row],[Ref]]&amp;"'!A1")),SUMIFS(INDIRECT("'"&amp;Historias[[#This Row],[Ref]]&amp;"'!F:F"),INDIRECT("'"&amp;Historias[[#This Row],[Ref]]&amp;"'!A:A"),"&gt;0")/60,"")</f>
        <v>0.0</v>
      </c>
      <c r="G3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1" spans="1:7" ht="18" customHeight="1">
      <c r="A31" s="5" t="s">
        <v>72</v>
      </c>
      <c r="B31" s="13" t="s">
        <v>73</v>
      </c>
      <c r="C31" s="5" t="s">
        <v>33</v>
      </c>
      <c r="D31" s="5"/>
      <c r="E31" s="6">
        <v>6</v>
      </c>
      <c r="F31" s="6">
        <f ca="1">IF(ISREF(INDIRECT("'"&amp;Historias[[#This Row],[Ref]]&amp;"'!A1")),SUMIFS(INDIRECT("'"&amp;Historias[[#This Row],[Ref]]&amp;"'!F:F"),INDIRECT("'"&amp;Historias[[#This Row],[Ref]]&amp;"'!A:A"),"&gt;0")/60,"")</f>
        <v>0.0</v>
      </c>
      <c r="G3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2" spans="1:7" ht="18" customHeight="1">
      <c r="A32" s="5" t="s">
        <v>74</v>
      </c>
      <c r="B32" s="13" t="s">
        <v>75</v>
      </c>
      <c r="C32" s="5"/>
      <c r="D32" s="5" t="s">
        <v>39</v>
      </c>
      <c r="E32" s="6"/>
      <c r="F32" s="6">
        <f ca="1">IF(ISREF(INDIRECT("'"&amp;Historias[[#This Row],[Ref]]&amp;"'!A1")),SUMIFS(INDIRECT("'"&amp;Historias[[#This Row],[Ref]]&amp;"'!F:F"),INDIRECT("'"&amp;Historias[[#This Row],[Ref]]&amp;"'!A:A"),"&gt;0")/60,"")</f>
        <v>0.0</v>
      </c>
      <c r="G3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3" spans="1:7" ht="18" customHeight="1">
      <c r="A33" s="5" t="s">
        <v>76</v>
      </c>
      <c r="B33" s="13" t="s">
        <v>77</v>
      </c>
      <c r="C33" s="5" t="s">
        <v>12</v>
      </c>
      <c r="D33" s="5" t="s">
        <v>36</v>
      </c>
      <c r="E33" s="6">
        <v>7</v>
      </c>
      <c r="F33" s="6">
        <f ca="1">IF(ISREF(INDIRECT("'"&amp;Historias[[#This Row],[Ref]]&amp;"'!A1")),SUMIFS(INDIRECT("'"&amp;Historias[[#This Row],[Ref]]&amp;"'!F:F"),INDIRECT("'"&amp;Historias[[#This Row],[Ref]]&amp;"'!A:A"),"&gt;0")/60,"")</f>
        <v>0.0</v>
      </c>
      <c r="G3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4" spans="1:7" ht="18" customHeight="1">
      <c r="A34" s="5" t="s">
        <v>78</v>
      </c>
      <c r="B34" s="13" t="s">
        <v>79</v>
      </c>
      <c r="C34" s="5"/>
      <c r="D34" s="5" t="s">
        <v>39</v>
      </c>
      <c r="E34" s="6"/>
      <c r="F34" s="6">
        <f ca="1">IF(ISREF(INDIRECT("'"&amp;Historias[[#This Row],[Ref]]&amp;"'!A1")),SUMIFS(INDIRECT("'"&amp;Historias[[#This Row],[Ref]]&amp;"'!F:F"),INDIRECT("'"&amp;Historias[[#This Row],[Ref]]&amp;"'!A:A"),"&gt;0")/60,"")</f>
        <v>0.0</v>
      </c>
      <c r="G3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5" spans="1:7" ht="18" customHeight="1">
      <c r="A35" s="5" t="s">
        <v>80</v>
      </c>
      <c r="B35" s="13" t="s">
        <v>81</v>
      </c>
      <c r="C35" s="5" t="s">
        <v>33</v>
      </c>
      <c r="D35" s="5" t="s">
        <v>19</v>
      </c>
      <c r="E35" s="6">
        <v>8</v>
      </c>
      <c r="F35" s="6">
        <f ca="1">IF(ISREF(INDIRECT("'"&amp;Historias[[#This Row],[Ref]]&amp;"'!A1")),SUMIFS(INDIRECT("'"&amp;Historias[[#This Row],[Ref]]&amp;"'!F:F"),INDIRECT("'"&amp;Historias[[#This Row],[Ref]]&amp;"'!A:A"),"&gt;0")/60,"")</f>
        <v>0.0</v>
      </c>
      <c r="G3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6" spans="1:7" ht="18" customHeight="1">
      <c r="A36" s="5" t="s">
        <v>82</v>
      </c>
      <c r="B36" s="13" t="s">
        <v>83</v>
      </c>
      <c r="C36" s="5" t="s">
        <v>12</v>
      </c>
      <c r="D36" s="5" t="s">
        <v>36</v>
      </c>
      <c r="E36" s="6">
        <v>4</v>
      </c>
      <c r="F36" s="6">
        <f ca="1">IF(ISREF(INDIRECT("'"&amp;Historias[[#This Row],[Ref]]&amp;"'!A1")),SUMIFS(INDIRECT("'"&amp;Historias[[#This Row],[Ref]]&amp;"'!F:F"),INDIRECT("'"&amp;Historias[[#This Row],[Ref]]&amp;"'!A:A"),"&gt;0")/60,"")</f>
        <v>0.0</v>
      </c>
      <c r="G3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7" spans="1:7" ht="18" customHeight="1">
      <c r="A37" s="5" t="s">
        <v>84</v>
      </c>
      <c r="B37" s="13" t="s">
        <v>85</v>
      </c>
      <c r="C37" s="5"/>
      <c r="D37" s="5" t="s">
        <v>19</v>
      </c>
      <c r="E37" s="6"/>
      <c r="F37" s="6">
        <f ca="1">IF(ISREF(INDIRECT("'"&amp;Historias[[#This Row],[Ref]]&amp;"'!A1")),SUMIFS(INDIRECT("'"&amp;Historias[[#This Row],[Ref]]&amp;"'!F:F"),INDIRECT("'"&amp;Historias[[#This Row],[Ref]]&amp;"'!A:A"),"&gt;0")/60,"")</f>
        <v>0.0</v>
      </c>
      <c r="G3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8" spans="1:7" ht="18" customHeight="1">
      <c r="A38" s="5" t="s">
        <v>86</v>
      </c>
      <c r="B38" s="13" t="s">
        <v>87</v>
      </c>
      <c r="C38" s="5" t="s">
        <v>51</v>
      </c>
      <c r="D38" s="5" t="s">
        <v>36</v>
      </c>
      <c r="E38" s="6">
        <v>8</v>
      </c>
      <c r="F38" s="6">
        <f ca="1">IF(ISREF(INDIRECT("'"&amp;Historias[[#This Row],[Ref]]&amp;"'!A1")),SUMIFS(INDIRECT("'"&amp;Historias[[#This Row],[Ref]]&amp;"'!F:F"),INDIRECT("'"&amp;Historias[[#This Row],[Ref]]&amp;"'!A:A"),"&gt;0")/60,"")</f>
        <v>0.0</v>
      </c>
      <c r="G3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39" spans="1:7" ht="18" customHeight="1">
      <c r="A39" s="5" t="s">
        <v>88</v>
      </c>
      <c r="B39" s="13" t="s">
        <v>89</v>
      </c>
      <c r="C39" s="5" t="s">
        <v>12</v>
      </c>
      <c r="D39" s="5" t="s">
        <v>19</v>
      </c>
      <c r="E39" s="6">
        <v>6</v>
      </c>
      <c r="F39" s="6">
        <f ca="1">IF(ISREF(INDIRECT("'"&amp;Historias[[#This Row],[Ref]]&amp;"'!A1")),SUMIFS(INDIRECT("'"&amp;Historias[[#This Row],[Ref]]&amp;"'!F:F"),INDIRECT("'"&amp;Historias[[#This Row],[Ref]]&amp;"'!A:A"),"&gt;0")/60,"")</f>
        <v>0.0</v>
      </c>
      <c r="G3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0" spans="1:7" ht="18" customHeight="1">
      <c r="A40" s="5" t="s">
        <v>90</v>
      </c>
      <c r="B40" s="13" t="s">
        <v>91</v>
      </c>
      <c r="C40" s="5"/>
      <c r="D40" s="5"/>
      <c r="E40" s="6"/>
      <c r="F40" s="6">
        <f ca="1">IF(ISREF(INDIRECT("'"&amp;Historias[[#This Row],[Ref]]&amp;"'!A1")),SUMIFS(INDIRECT("'"&amp;Historias[[#This Row],[Ref]]&amp;"'!F:F"),INDIRECT("'"&amp;Historias[[#This Row],[Ref]]&amp;"'!A:A"),"&gt;0")/60,"")</f>
        <v>0.0</v>
      </c>
      <c r="G4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1" spans="1:7" ht="18" customHeight="1">
      <c r="A41" s="5" t="s">
        <v>92</v>
      </c>
      <c r="B41" s="13" t="s">
        <v>93</v>
      </c>
      <c r="C41" s="5"/>
      <c r="D41" s="5"/>
      <c r="E41" s="6"/>
      <c r="F41" s="6">
        <f ca="1">IF(ISREF(INDIRECT("'"&amp;Historias[[#This Row],[Ref]]&amp;"'!A1")),SUMIFS(INDIRECT("'"&amp;Historias[[#This Row],[Ref]]&amp;"'!F:F"),INDIRECT("'"&amp;Historias[[#This Row],[Ref]]&amp;"'!A:A"),"&gt;0")/60,"")</f>
        <v>0.0</v>
      </c>
      <c r="G4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2" spans="1:7" ht="18" customHeight="1">
      <c r="A42" s="5" t="s">
        <v>94</v>
      </c>
      <c r="B42" s="13" t="s">
        <v>95</v>
      </c>
      <c r="C42" s="5"/>
      <c r="D42" s="5"/>
      <c r="E42" s="6"/>
      <c r="F42" s="6">
        <f ca="1">IF(ISREF(INDIRECT("'"&amp;Historias[[#This Row],[Ref]]&amp;"'!A1")),SUMIFS(INDIRECT("'"&amp;Historias[[#This Row],[Ref]]&amp;"'!F:F"),INDIRECT("'"&amp;Historias[[#This Row],[Ref]]&amp;"'!A:A"),"&gt;0")/60,"")</f>
        <v>0.0</v>
      </c>
      <c r="G4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3" spans="1:7" ht="18" customHeight="1">
      <c r="A43" s="5" t="s">
        <v>96</v>
      </c>
      <c r="B43" s="13" t="s">
        <v>97</v>
      </c>
      <c r="C43" s="5" t="s">
        <v>33</v>
      </c>
      <c r="D43" s="5"/>
      <c r="E43" s="6">
        <v>5</v>
      </c>
      <c r="F43" s="6">
        <f ca="1">IF(ISREF(INDIRECT("'"&amp;Historias[[#This Row],[Ref]]&amp;"'!A1")),SUMIFS(INDIRECT("'"&amp;Historias[[#This Row],[Ref]]&amp;"'!F:F"),INDIRECT("'"&amp;Historias[[#This Row],[Ref]]&amp;"'!A:A"),"&gt;0")/60,"")</f>
        <v>0.0</v>
      </c>
      <c r="G4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4" spans="1:7" ht="18" customHeight="1">
      <c r="A44" s="5" t="s">
        <v>98</v>
      </c>
      <c r="B44" s="13" t="s">
        <v>99</v>
      </c>
      <c r="C44" s="5"/>
      <c r="D44" s="5"/>
      <c r="E44" s="6"/>
      <c r="F44" s="6">
        <f ca="1">IF(ISREF(INDIRECT("'"&amp;Historias[[#This Row],[Ref]]&amp;"'!A1")),SUMIFS(INDIRECT("'"&amp;Historias[[#This Row],[Ref]]&amp;"'!F:F"),INDIRECT("'"&amp;Historias[[#This Row],[Ref]]&amp;"'!A:A"),"&gt;0")/60,"")</f>
        <v>0.0</v>
      </c>
      <c r="G4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5" spans="1:7" ht="18" customHeight="1">
      <c r="A45" s="5" t="s">
        <v>100</v>
      </c>
      <c r="B45" s="13" t="s">
        <v>101</v>
      </c>
      <c r="C45" s="5" t="s">
        <v>51</v>
      </c>
      <c r="D45" s="5"/>
      <c r="E45" s="6">
        <v>10</v>
      </c>
      <c r="F45" s="6">
        <f ca="1">IF(ISREF(INDIRECT("'"&amp;Historias[[#This Row],[Ref]]&amp;"'!A1")),SUMIFS(INDIRECT("'"&amp;Historias[[#This Row],[Ref]]&amp;"'!F:F"),INDIRECT("'"&amp;Historias[[#This Row],[Ref]]&amp;"'!A:A"),"&gt;0")/60,"")</f>
        <v>0.0</v>
      </c>
      <c r="G4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6" spans="1:7" ht="18" customHeight="1">
      <c r="A46" s="5" t="s">
        <v>102</v>
      </c>
      <c r="B46" s="13" t="s">
        <v>103</v>
      </c>
      <c r="C46" s="5"/>
      <c r="D46" s="5" t="s">
        <v>19</v>
      </c>
      <c r="E46" s="6"/>
      <c r="F46" s="6">
        <f ca="1">IF(ISREF(INDIRECT("'"&amp;Historias[[#This Row],[Ref]]&amp;"'!A1")),SUMIFS(INDIRECT("'"&amp;Historias[[#This Row],[Ref]]&amp;"'!F:F"),INDIRECT("'"&amp;Historias[[#This Row],[Ref]]&amp;"'!A:A"),"&gt;0")/60,"")</f>
        <v>0.0</v>
      </c>
      <c r="G4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7" spans="1:7" ht="18" customHeight="1">
      <c r="A47" s="5" t="s">
        <v>104</v>
      </c>
      <c r="B47" s="13" t="s">
        <v>105</v>
      </c>
      <c r="C47" s="5"/>
      <c r="D47" s="5" t="s">
        <v>39</v>
      </c>
      <c r="E47" s="6"/>
      <c r="F47" s="6">
        <f ca="1">IF(ISREF(INDIRECT("'"&amp;Historias[[#This Row],[Ref]]&amp;"'!A1")),SUMIFS(INDIRECT("'"&amp;Historias[[#This Row],[Ref]]&amp;"'!F:F"),INDIRECT("'"&amp;Historias[[#This Row],[Ref]]&amp;"'!A:A"),"&gt;0")/60,"")</f>
        <v>0.0</v>
      </c>
      <c r="G4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48" spans="1:7" ht="18" customHeight="1">
      <c r="A48" s="5" t="s">
        <v>106</v>
      </c>
      <c r="B48" s="13" t="s">
        <v>107</v>
      </c>
      <c r="C48" s="5"/>
      <c r="D48" s="5"/>
      <c r="E48" s="6"/>
      <c r="F48" s="6">
        <f ca="1">IF(ISREF(INDIRECT("'"&amp;Historias[[#This Row],[Ref]]&amp;"'!A1")),SUMIFS(INDIRECT("'"&amp;Historias[[#This Row],[Ref]]&amp;"'!F:F"),INDIRECT("'"&amp;Historias[[#This Row],[Ref]]&amp;"'!A:A"),"&gt;0")/60,"")</f>
        <v>0.0</v>
      </c>
      <c r="G4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49" spans="1:7" ht="18" customHeight="1">
      <c r="A49" s="5" t="s">
        <v>108</v>
      </c>
      <c r="B49" s="13" t="s">
        <v>109</v>
      </c>
      <c r="C49" s="5"/>
      <c r="D49" s="5" t="s">
        <v>39</v>
      </c>
      <c r="E49" s="6"/>
      <c r="F49" s="6">
        <f ca="1">IF(ISREF(INDIRECT("'"&amp;Historias[[#This Row],[Ref]]&amp;"'!A1")),SUMIFS(INDIRECT("'"&amp;Historias[[#This Row],[Ref]]&amp;"'!F:F"),INDIRECT("'"&amp;Historias[[#This Row],[Ref]]&amp;"'!A:A"),"&gt;0")/60,"")</f>
        <v>0.0</v>
      </c>
      <c r="G4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0" spans="1:7" ht="18" customHeight="1">
      <c r="A50" s="5" t="s">
        <v>110</v>
      </c>
      <c r="B50" s="13" t="s">
        <v>111</v>
      </c>
      <c r="C50" s="5" t="s">
        <v>12</v>
      </c>
      <c r="D50" s="5" t="s">
        <v>36</v>
      </c>
      <c r="E50" s="6">
        <v>4</v>
      </c>
      <c r="F50" s="6">
        <f ca="1">IF(ISREF(INDIRECT("'"&amp;Historias[[#This Row],[Ref]]&amp;"'!A1")),SUMIFS(INDIRECT("'"&amp;Historias[[#This Row],[Ref]]&amp;"'!F:F"),INDIRECT("'"&amp;Historias[[#This Row],[Ref]]&amp;"'!A:A"),"&gt;0")/60,"")</f>
        <v>3.466666666666667</v>
      </c>
      <c r="G5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51" spans="1:7" ht="18" customHeight="1">
      <c r="A51" s="5" t="s">
        <v>112</v>
      </c>
      <c r="B51" s="13" t="s">
        <v>113</v>
      </c>
      <c r="C51" s="5"/>
      <c r="D51" s="5"/>
      <c r="E51" s="6"/>
      <c r="F51" s="6">
        <f ca="1">IF(ISREF(INDIRECT("'"&amp;Historias[[#This Row],[Ref]]&amp;"'!A1")),SUMIFS(INDIRECT("'"&amp;Historias[[#This Row],[Ref]]&amp;"'!F:F"),INDIRECT("'"&amp;Historias[[#This Row],[Ref]]&amp;"'!A:A"),"&gt;0")/60,"")</f>
        <v>0.8333333333333334</v>
      </c>
      <c r="G5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52" spans="1:7" ht="18" customHeight="1">
      <c r="A52" s="5" t="s">
        <v>114</v>
      </c>
      <c r="B52" s="13" t="s">
        <v>115</v>
      </c>
      <c r="C52" s="5" t="s">
        <v>116</v>
      </c>
      <c r="D52" s="5" t="s">
        <v>36</v>
      </c>
      <c r="E52" s="6">
        <v>4</v>
      </c>
      <c r="F52" s="6">
        <f ca="1">IF(ISREF(INDIRECT("'"&amp;Historias[[#This Row],[Ref]]&amp;"'!A1")),SUMIFS(INDIRECT("'"&amp;Historias[[#This Row],[Ref]]&amp;"'!F:F"),INDIRECT("'"&amp;Historias[[#This Row],[Ref]]&amp;"'!A:A"),"&gt;0")/60,"")</f>
        <v>1.5833333333333333</v>
      </c>
      <c r="G5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53" spans="1:7" ht="18" customHeight="1">
      <c r="A53" s="5" t="s">
        <v>117</v>
      </c>
      <c r="B53" s="13" t="s">
        <v>118</v>
      </c>
      <c r="C53" s="5" t="s">
        <v>33</v>
      </c>
      <c r="D53" s="5"/>
      <c r="E53" s="6">
        <v>6</v>
      </c>
      <c r="F53" s="6">
        <f ca="1">IF(ISREF(INDIRECT("'"&amp;Historias[[#This Row],[Ref]]&amp;"'!A1")),SUMIFS(INDIRECT("'"&amp;Historias[[#This Row],[Ref]]&amp;"'!F:F"),INDIRECT("'"&amp;Historias[[#This Row],[Ref]]&amp;"'!A:A"),"&gt;0")/60,"")</f>
        <v>0.0</v>
      </c>
      <c r="G5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4" spans="1:7" ht="18" customHeight="1">
      <c r="A54" s="5" t="s">
        <v>119</v>
      </c>
      <c r="B54" s="13" t="s">
        <v>120</v>
      </c>
      <c r="C54" s="5"/>
      <c r="D54" s="5"/>
      <c r="E54" s="6"/>
      <c r="F54" s="6">
        <f ca="1">IF(ISREF(INDIRECT("'"&amp;Historias[[#This Row],[Ref]]&amp;"'!A1")),SUMIFS(INDIRECT("'"&amp;Historias[[#This Row],[Ref]]&amp;"'!F:F"),INDIRECT("'"&amp;Historias[[#This Row],[Ref]]&amp;"'!A:A"),"&gt;0")/60,"")</f>
        <v>0.0</v>
      </c>
      <c r="G5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5" spans="1:7" ht="18" customHeight="1">
      <c r="A55" s="5" t="s">
        <v>121</v>
      </c>
      <c r="B55" s="13" t="s">
        <v>122</v>
      </c>
      <c r="C55" s="5"/>
      <c r="D55" s="5" t="s">
        <v>39</v>
      </c>
      <c r="E55" s="6"/>
      <c r="F55" s="6">
        <f ca="1">IF(ISREF(INDIRECT("'"&amp;Historias[[#This Row],[Ref]]&amp;"'!A1")),SUMIFS(INDIRECT("'"&amp;Historias[[#This Row],[Ref]]&amp;"'!F:F"),INDIRECT("'"&amp;Historias[[#This Row],[Ref]]&amp;"'!A:A"),"&gt;0")/60,"")</f>
        <v>0.0</v>
      </c>
      <c r="G5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6" spans="1:7" ht="18" customHeight="1">
      <c r="A56" s="5" t="s">
        <v>123</v>
      </c>
      <c r="B56" s="13" t="s">
        <v>124</v>
      </c>
      <c r="C56" s="5"/>
      <c r="D56" s="5"/>
      <c r="E56" s="6"/>
      <c r="F56" s="6">
        <f ca="1">IF(ISREF(INDIRECT("'"&amp;Historias[[#This Row],[Ref]]&amp;"'!A1")),SUMIFS(INDIRECT("'"&amp;Historias[[#This Row],[Ref]]&amp;"'!F:F"),INDIRECT("'"&amp;Historias[[#This Row],[Ref]]&amp;"'!A:A"),"&gt;0")/60,"")</f>
        <v>0.0</v>
      </c>
      <c r="G5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7" spans="1:7" ht="18" customHeight="1">
      <c r="A57" s="5" t="s">
        <v>125</v>
      </c>
      <c r="B57" s="13" t="s">
        <v>126</v>
      </c>
      <c r="C57" s="5" t="s">
        <v>51</v>
      </c>
      <c r="D57" s="5"/>
      <c r="E57" s="6">
        <v>5</v>
      </c>
      <c r="F57" s="6">
        <f ca="1">IF(ISREF(INDIRECT("'"&amp;Historias[[#This Row],[Ref]]&amp;"'!A1")),SUMIFS(INDIRECT("'"&amp;Historias[[#This Row],[Ref]]&amp;"'!F:F"),INDIRECT("'"&amp;Historias[[#This Row],[Ref]]&amp;"'!A:A"),"&gt;0")/60,"")</f>
        <v>0.0</v>
      </c>
      <c r="G5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8" spans="1:7" ht="18" customHeight="1">
      <c r="A58" s="5" t="s">
        <v>127</v>
      </c>
      <c r="B58" s="13" t="s">
        <v>128</v>
      </c>
      <c r="C58" s="5" t="s">
        <v>12</v>
      </c>
      <c r="D58" s="5" t="s">
        <v>36</v>
      </c>
      <c r="E58" s="6">
        <v>3</v>
      </c>
      <c r="F58" s="6">
        <f ca="1">IF(ISREF(INDIRECT("'"&amp;Historias[[#This Row],[Ref]]&amp;"'!A1")),SUMIFS(INDIRECT("'"&amp;Historias[[#This Row],[Ref]]&amp;"'!F:F"),INDIRECT("'"&amp;Historias[[#This Row],[Ref]]&amp;"'!A:A"),"&gt;0")/60,"")</f>
        <v>0.0</v>
      </c>
      <c r="G58"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59" spans="1:7" ht="18" customHeight="1">
      <c r="A59" s="5" t="s">
        <v>129</v>
      </c>
      <c r="B59" s="13" t="s">
        <v>130</v>
      </c>
      <c r="C59" s="5" t="s">
        <v>51</v>
      </c>
      <c r="D59" s="5"/>
      <c r="E59" s="6">
        <v>6</v>
      </c>
      <c r="F59" s="6">
        <f ca="1">IF(ISREF(INDIRECT("'"&amp;Historias[[#This Row],[Ref]]&amp;"'!A1")),SUMIFS(INDIRECT("'"&amp;Historias[[#This Row],[Ref]]&amp;"'!F:F"),INDIRECT("'"&amp;Historias[[#This Row],[Ref]]&amp;"'!A:A"),"&gt;0")/60,"")</f>
        <v>0.0</v>
      </c>
      <c r="G59"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0" spans="1:7" ht="18" customHeight="1">
      <c r="A60" s="5" t="s">
        <v>131</v>
      </c>
      <c r="B60" s="13" t="s">
        <v>132</v>
      </c>
      <c r="C60" s="5" t="s">
        <v>12</v>
      </c>
      <c r="D60" s="5" t="s">
        <v>36</v>
      </c>
      <c r="E60" s="6">
        <v>3</v>
      </c>
      <c r="F60" s="6">
        <f ca="1">IF(ISREF(INDIRECT("'"&amp;Historias[[#This Row],[Ref]]&amp;"'!A1")),SUMIFS(INDIRECT("'"&amp;Historias[[#This Row],[Ref]]&amp;"'!F:F"),INDIRECT("'"&amp;Historias[[#This Row],[Ref]]&amp;"'!A:A"),"&gt;0")/60,"")</f>
        <v>0.8333333333333334</v>
      </c>
      <c r="G60"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1" spans="1:7" ht="18" customHeight="1">
      <c r="A61" s="5" t="s">
        <v>133</v>
      </c>
      <c r="B61" s="13" t="s">
        <v>134</v>
      </c>
      <c r="C61" s="5"/>
      <c r="D61" s="5" t="s">
        <v>39</v>
      </c>
      <c r="E61" s="6"/>
      <c r="F61" s="6">
        <f ca="1">IF(ISREF(INDIRECT("'"&amp;Historias[[#This Row],[Ref]]&amp;"'!A1")),SUMIFS(INDIRECT("'"&amp;Historias[[#This Row],[Ref]]&amp;"'!F:F"),INDIRECT("'"&amp;Historias[[#This Row],[Ref]]&amp;"'!A:A"),"&gt;0")/60,"")</f>
        <v>0.0</v>
      </c>
      <c r="G61"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row r="62" spans="1:7" ht="18" customHeight="1">
      <c r="A62" s="5" t="s">
        <v>135</v>
      </c>
      <c r="B62" s="13" t="s">
        <v>136</v>
      </c>
      <c r="C62" s="5" t="s">
        <v>12</v>
      </c>
      <c r="D62" s="5" t="s">
        <v>36</v>
      </c>
      <c r="E62" s="6">
        <v>4</v>
      </c>
      <c r="F62" s="6">
        <f ca="1">IF(ISREF(INDIRECT("'"&amp;Historias[[#This Row],[Ref]]&amp;"'!A1")),SUMIFS(INDIRECT("'"&amp;Historias[[#This Row],[Ref]]&amp;"'!F:F"),INDIRECT("'"&amp;Historias[[#This Row],[Ref]]&amp;"'!A:A"),"&gt;0")/60,"")</f>
        <v>0.5</v>
      </c>
      <c r="G62"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63" spans="1:7" ht="18" customHeight="1">
      <c r="A63" s="5" t="s">
        <v>137</v>
      </c>
      <c r="B63" s="13" t="s">
        <v>138</v>
      </c>
      <c r="C63" s="5" t="s">
        <v>12</v>
      </c>
      <c r="D63" s="5" t="s">
        <v>36</v>
      </c>
      <c r="E63" s="6">
        <v>3</v>
      </c>
      <c r="F63" s="6">
        <f ca="1">IF(ISREF(INDIRECT("'"&amp;Historias[[#This Row],[Ref]]&amp;"'!A1")),SUMIFS(INDIRECT("'"&amp;Historias[[#This Row],[Ref]]&amp;"'!F:F"),INDIRECT("'"&amp;Historias[[#This Row],[Ref]]&amp;"'!A:A"),"&gt;0")/60,"")</f>
        <v>2.9166666666666665</v>
      </c>
      <c r="G63"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Finalizada</v>
      </c>
    </row>
    <row r="64" spans="1:7" ht="18" customHeight="1">
      <c r="A64" s="5" t="s">
        <v>139</v>
      </c>
      <c r="B64" s="13" t="s">
        <v>140</v>
      </c>
      <c r="C64" s="5" t="s">
        <v>12</v>
      </c>
      <c r="D64" s="5"/>
      <c r="E64" s="6">
        <v>2</v>
      </c>
      <c r="F64" s="6">
        <f ca="1">IF(ISREF(INDIRECT("'"&amp;Historias[[#This Row],[Ref]]&amp;"'!A1")),SUMIFS(INDIRECT("'"&amp;Historias[[#This Row],[Ref]]&amp;"'!F:F"),INDIRECT("'"&amp;Historias[[#This Row],[Ref]]&amp;"'!A:A"),"&gt;0")/60,"")</f>
        <v>1.1083333333333334</v>
      </c>
      <c r="G64"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5" spans="1:7" ht="18" customHeight="1">
      <c r="A65" s="5" t="s">
        <v>141</v>
      </c>
      <c r="B65" s="13" t="s">
        <v>142</v>
      </c>
      <c r="C65" s="5" t="s">
        <v>116</v>
      </c>
      <c r="D65" s="5"/>
      <c r="E65" s="6">
        <v>3</v>
      </c>
      <c r="F65" s="6">
        <f ca="1">IF(ISREF(INDIRECT("'"&amp;Historias[[#This Row],[Ref]]&amp;"'!A1")),SUMIFS(INDIRECT("'"&amp;Historias[[#This Row],[Ref]]&amp;"'!F:F"),INDIRECT("'"&amp;Historias[[#This Row],[Ref]]&amp;"'!A:A"),"&gt;0")/60,"")</f>
        <v>1.2</v>
      </c>
      <c r="G65"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6" spans="1:7" ht="18" customHeight="1">
      <c r="A66" s="5" t="s">
        <v>143</v>
      </c>
      <c r="B66" s="13" t="s">
        <v>144</v>
      </c>
      <c r="C66" s="5" t="s">
        <v>12</v>
      </c>
      <c r="D66" s="5"/>
      <c r="E66" s="6">
        <v>2</v>
      </c>
      <c r="F66" s="6">
        <f ca="1">IF(ISREF(INDIRECT("'"&amp;Historias[[#This Row],[Ref]]&amp;"'!A1")),SUMIFS(INDIRECT("'"&amp;Historias[[#This Row],[Ref]]&amp;"'!F:F"),INDIRECT("'"&amp;Historias[[#This Row],[Ref]]&amp;"'!A:A"),"&gt;0")/60,"")</f>
        <v>0.0</v>
      </c>
      <c r="G66"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progreso</v>
      </c>
    </row>
    <row r="67" spans="1:7" ht="18" customHeight="1">
      <c r="A67" s="5" t="s">
        <v>145</v>
      </c>
      <c r="B67" s="13" t="s">
        <v>146</v>
      </c>
      <c r="C67" s="5" t="s">
        <v>12</v>
      </c>
      <c r="D67" s="5"/>
      <c r="E67" s="6">
        <v>6</v>
      </c>
      <c r="F67" s="6">
        <f ca="1">IF(ISREF(INDIRECT("'"&amp;Historias[[#This Row],[Ref]]&amp;"'!A1")),SUMIFS(INDIRECT("'"&amp;Historias[[#This Row],[Ref]]&amp;"'!F:F"),INDIRECT("'"&amp;Historias[[#This Row],[Ref]]&amp;"'!A:A"),"&gt;0")/60,"")</f>
        <v>0.0</v>
      </c>
      <c r="G67" s="5" t="str">
        <f ca="1">IF(AND(Historias[[#This Row],[Ref]]="",Historias[[#This Row],[Título]]=""),"",IF(NOT(ISREF(INDIRECT("'"&amp;Historias[[#This Row],[Ref]]&amp;"'!A1"))),"Sin página",IF(AND(COUNT(INDIRECT("'"&amp;Historias[[#This Row],[Ref]]&amp;"'!A:A"))&gt;0,COUNTIF(INDIRECT("'"&amp;Historias[[#This Row],[Ref]]&amp;"'!C:C"),"Sí")&gt;=COUNT(INDIRECT("'"&amp;Historias[[#This Row],[Ref]]&amp;"'!A:A"))),"Finalizada",IF(COUNTIFS(INDIRECT("'"&amp;Historias[[#This Row],[Ref]]&amp;"'!D:D"),"?*",INDIRECT("'"&amp;Historias[[#This Row],[Ref]]&amp;"'!D:D"),"&lt;&gt;Responsable")+COUNTIF(INDIRECT("'"&amp;Historias[[#This Row],[Ref]]&amp;"'!C:C"),"Sí")&gt;0,"En progreso","En espera"))))</f>
        <v>En espera</v>
      </c>
    </row>
  </sheetData>
  <mergeCells count="1">
    <mergeCell ref="A2:G2"/>
  </mergeCells>
  <conditionalFormatting sqref="C4:C500">
    <cfRule type="expression" dxfId="1027" priority="1">
      <formula>$C4="Bajo"</formula>
    </cfRule>
    <cfRule type="expression" dxfId="1026" priority="2">
      <formula>$C4="Medio bajo"</formula>
    </cfRule>
    <cfRule type="expression" dxfId="1025" priority="3">
      <formula>$C4="Medio"</formula>
    </cfRule>
    <cfRule type="expression" dxfId="1024" priority="4">
      <formula>$C4="Alto"</formula>
    </cfRule>
    <cfRule type="expression" dxfId="1023" priority="5">
      <formula>$C4="Muy alto"</formula>
    </cfRule>
  </conditionalFormatting>
  <conditionalFormatting sqref="D4:D500">
    <cfRule type="expression" dxfId="1022" priority="6">
      <formula>$D4="I"</formula>
    </cfRule>
    <cfRule type="expression" dxfId="1021" priority="7">
      <formula>$D4="N"</formula>
    </cfRule>
    <cfRule type="expression" dxfId="1020" priority="8">
      <formula>$D4="M"</formula>
    </cfRule>
  </conditionalFormatting>
  <conditionalFormatting sqref="G4:G500">
    <cfRule type="expression" dxfId="1019" priority="9">
      <formula>$G4="En progreso"</formula>
    </cfRule>
    <cfRule type="expression" dxfId="1018" priority="10">
      <formula>$G4="En espera"</formula>
    </cfRule>
    <cfRule type="expression" dxfId="1017" priority="11">
      <formula>$G4="Finalizada"</formula>
    </cfRule>
    <cfRule type="expression" dxfId="1016" priority="12">
      <formula>$G4="Sin página"</formula>
    </cfRule>
  </conditionalFormatting>
  <conditionalFormatting sqref="A4:G500">
    <cfRule type="expression" dxfId="1015" priority="13">
      <formula>$G4="En progreso"</formula>
    </cfRule>
    <cfRule type="expression" dxfId="1014" priority="14">
      <formula>$G4="Finalizada"</formula>
    </cfRule>
  </conditionalFormatting>
  <dataValidations count="3">
    <dataValidation type="list" allowBlank="1" showErrorMessage="1" errorTitle="Riesgo" error="Elige un valor de la lista." sqref="C4:C500" xr:uid="{00000000-0002-0000-0000-000000000000}">
      <formula1>"Bajo,Medio bajo,Medio,Alto,Muy alto"</formula1>
    </dataValidation>
    <dataValidation type="list" allowBlank="1" showInputMessage="1" showErrorMessage="1" errorTitle="Prioridad" error="Elige I, N o M." promptTitle="Prioridad" prompt="I = la más importante · N = media · M = poco importante" sqref="D4:D500" xr:uid="{00000000-0002-0000-0000-000001000000}">
      <formula1>"I,N,M"</formula1>
    </dataValidation>
    <dataValidation type="decimal" operator="greaterThanOrEqual" allowBlank="1" showErrorMessage="1" errorTitle="Tiempo estimado" error="Escribe las horas con un número, por ejemplo 4 o 0,5." sqref="E4:E500" xr:uid="{00000000-0002-0000-0000-000002000000}">
      <formula1>0</formula1>
    </dataValidation>
  </dataValidations>
  <hyperlinks>
    <hyperlink ref="B4" location="'CS-01'!A1" tooltip="Abrir CS-01" display="VALORAR UNA EXPERIENCIA" xr:uid="{00000000-0004-0000-0000-000000000000}"/>
    <hyperlink ref="B5" location="'CS-02'!A1" tooltip="Abrir CS-02" display="COMENTAR Y MARCAR ÚTIL" xr:uid="{00000000-0004-0000-0000-000001000000}"/>
    <hyperlink ref="B6" location="'CS-03'!A1" tooltip="Abrir CS-03" display="SEÑALAR INFORMACIÓN DESACTUALIZADA" xr:uid="{00000000-0004-0000-0000-000002000000}"/>
    <hyperlink ref="B7" location="'CS-04'!A1" tooltip="Abrir CS-04" display="REPORTAR CONTENIDO" xr:uid="{00000000-0004-0000-0000-000003000000}"/>
    <hyperlink ref="B8" location="'CS-05'!A1" tooltip="Abrir CS-05" display="REVISAR REPORTES PENDIENTES" xr:uid="{00000000-0004-0000-0000-000004000000}"/>
    <hyperlink ref="B9" location="'CS-06'!A1" tooltip="Abrir CS-06" display="RETIRAR CONTENIDO Y CERRAR REPORTE" xr:uid="{00000000-0004-0000-0000-000005000000}"/>
    <hyperlink ref="B10" location="'CS-07'!A1" tooltip="Abrir CS-07" display="AVISOS DE ACTIVIDAD" xr:uid="{00000000-0004-0000-0000-000006000000}"/>
    <hyperlink ref="B11" location="'CS-08'!A1" tooltip="Abrir CS-08" display="CONFIGURAR MIS AVISOS" xr:uid="{00000000-0004-0000-0000-000007000000}"/>
    <hyperlink ref="B12" location="'CS-09'!A1" tooltip="Abrir CS-09" display="NOVEDADES DE AMIGOS" xr:uid="{00000000-0004-0000-0000-000008000000}"/>
    <hyperlink ref="B13" location="'CS-10'!A1" tooltip="Abrir CS-10" display="BÚSQUEDA CON FILTROS COMBINABLES" xr:uid="{00000000-0004-0000-0000-000009000000}"/>
    <hyperlink ref="B14" location="'CS-11'!A1" tooltip="Abrir CS-11" display="ORDENACIÓN Y PAGINACIÓN ESTABLE" xr:uid="{00000000-0004-0000-0000-00000A000000}"/>
    <hyperlink ref="B15" location="'CS-12'!A1" tooltip="Abrir CS-12" display="AGREGADOS DERIVADOS PARA BÚSQUEDA" xr:uid="{00000000-0004-0000-0000-00000B000000}"/>
    <hyperlink ref="B16" location="'CS-13'!A1" tooltip="Abrir CS-13" display="DETECCIÓN DE VALORACIONES SOSPECHOSAS" xr:uid="{00000000-0004-0000-0000-00000C000000}"/>
    <hyperlink ref="B17" location="'CS-14'!A1" tooltip="Abrir CS-14" display="RESUMEN DE VALORACIONES DE UNA EXPERIENCIA" xr:uid="{00000000-0004-0000-0000-00000D000000}"/>
    <hyperlink ref="B18" location="'CS-15'!A1" tooltip="Abrir CS-15" display="CICLO DE VIDA DEL AVISO DE DATO OBSOLETO" xr:uid="{00000000-0004-0000-0000-00000E000000}"/>
    <hyperlink ref="B19" location="'CS-16'!A1" tooltip="Abrir CS-16" display="OCULTACIÓN PREVENTIVA POR UMBRAL DE REPORTES" xr:uid="{00000000-0004-0000-0000-00000F000000}"/>
    <hyperlink ref="B20" location="'CS-17'!A1" tooltip="Abrir CS-17" display="DETECCIÓN AUTOMÁTICA DE PUBLICIDAD ENCUBIERTA" xr:uid="{00000000-0004-0000-0000-000010000000}"/>
    <hyperlink ref="B21" location="'CS-18'!A1" tooltip="Abrir CS-18" display="SANCIONES A AUTORES REINCIDENTES" xr:uid="{00000000-0004-0000-0000-000011000000}"/>
    <hyperlink ref="B22" location="'CS-19'!A1" tooltip="Abrir CS-19" display="AVISOS DE MODERACIÓN (RETIRADA Y RESOLUCIÓN)" xr:uid="{00000000-0004-0000-0000-000012000000}"/>
    <hyperlink ref="B23" location="'CS-20'!A1" tooltip="Abrir CS-20" display="AGRUPACIÓN Y LÍMITE DE FRECUENCIA DE AVISOS" xr:uid="{00000000-0004-0000-0000-000013000000}"/>
    <hyperlink ref="B24" location="'CS-21'!A1" tooltip="Abrir CS-21" display="REGISTRO DE DISPOSITIVOS Y PROVEEDOR PUSH" xr:uid="{00000000-0004-0000-0000-000014000000}"/>
    <hyperlink ref="B25" location="'CS-22'!A1" tooltip="Abrir CS-22" display="VISIBILIDAD EXPERIENCIAS" xr:uid="{00000000-0004-0000-0000-000015000000}"/>
    <hyperlink ref="B26" location="'CS-23'!A1" tooltip="Abrir CS-23" display="PESTAÑA DE BÚSQUEDA" xr:uid="{00000000-0004-0000-0000-000016000000}"/>
    <hyperlink ref="B27" location="'CS-24'!A1" tooltip="Abrir CS-24" display="RESULTADO BÚSQUEDA" xr:uid="{00000000-0004-0000-0000-000017000000}"/>
    <hyperlink ref="B28" location="'CS-25'!A1" tooltip="Abrir CS-25" display="VISTA RESUMIDA DE EXPERIENCIA" xr:uid="{00000000-0004-0000-0000-000018000000}"/>
    <hyperlink ref="B29" location="'CS-26'!A1" tooltip="Abrir CS-26" display="BARRA DE BÚSQUEDA" xr:uid="{00000000-0004-0000-0000-000019000000}"/>
    <hyperlink ref="B30" location="'CS-27'!A1" tooltip="Abrir CS-27" display="VISIBILIDAD INICIO" xr:uid="{00000000-0004-0000-0000-00001A000000}"/>
    <hyperlink ref="B31" location="'CS-28'!A1" tooltip="Abrir CS-28" display="ORDENACIÓN RESULTADOS" xr:uid="{00000000-0004-0000-0000-00001B000000}"/>
    <hyperlink ref="B32" location="'CS-29'!A1" tooltip="Abrir CS-29" display="RECUPERACIÓN DE BORRADORES" xr:uid="{00000000-0004-0000-0000-00001C000000}"/>
    <hyperlink ref="B33" location="'CS-30'!A1" tooltip="Abrir CS-30" display="CONTROL DE ACCESO" xr:uid="{00000000-0004-0000-0000-00001D000000}"/>
    <hyperlink ref="B34" location="'CS-31'!A1" tooltip="Abrir CS-31" display="FILTRO “EXPERIENCIAS DE AMIGOS”" xr:uid="{00000000-0004-0000-0000-00001E000000}"/>
    <hyperlink ref="B35" location="'CS-32'!A1" tooltip="Abrir CS-32" display="VISTA DETALLADA DE EXPERIENCIA" xr:uid="{00000000-0004-0000-0000-00001F000000}"/>
    <hyperlink ref="B36" location="'CS-33'!A1" tooltip="Abrir CS-33" display="LIMPIAR BÚSQUEDA" xr:uid="{00000000-0004-0000-0000-000020000000}"/>
    <hyperlink ref="B37" location="'CS-34'!A1" tooltip="Abrir CS-34" display="ESTADOS DE “CARGA”, “SIN RESULTADOS” Y “ERROR”" xr:uid="{00000000-0004-0000-0000-000021000000}"/>
    <hyperlink ref="B38" location="'CS-35'!A1" tooltip="Abrir CS-35" display="CARGA DE RESULTADOS" xr:uid="{00000000-0004-0000-0000-000022000000}"/>
    <hyperlink ref="B39" location="'CS-36'!A1" tooltip="Abrir CS-36" display="ORDENACIÓN POR CERCANÍA" xr:uid="{00000000-0004-0000-0000-000023000000}"/>
    <hyperlink ref="B40" location="'CS-37'!A1" tooltip="Abrir CS-37" display="COMPARTIR UNA EXPERIENCIA MEDIANTE UN ENLACE" xr:uid="{00000000-0004-0000-0000-000024000000}"/>
    <hyperlink ref="B41" location="'CS-38'!A1" tooltip="Abrir CS-38" display="COMPARTIR MEDIANTE OTRAS APLICACIONES" xr:uid="{00000000-0004-0000-0000-000025000000}"/>
    <hyperlink ref="B42" location="'CS-39'!A1" tooltip="Abrir CS-39" display="RECOMENDACIONES SEGÚN LA CIUDAD" xr:uid="{00000000-0004-0000-0000-000026000000}"/>
    <hyperlink ref="B43" location="'CS-40'!A1" tooltip="Abrir CS-40" display="RECOMENDACIONES SEGÚN MIS GUSTOS" xr:uid="{00000000-0004-0000-0000-000027000000}"/>
    <hyperlink ref="B44" location="'CS-41'!A1" tooltip="Abrir CS-41" display="EXPERIENCIAS SIMILARES A LAS GUARDADAS" xr:uid="{00000000-0004-0000-0000-000028000000}"/>
    <hyperlink ref="B45" location="'CS-42'!A1" tooltip="Abrir CS-42" display="RECOMENDACIONES SEGÚN MIS VALORACIONES" xr:uid="{00000000-0004-0000-0000-000029000000}"/>
    <hyperlink ref="B46" location="'CS-43'!A1" tooltip="Abrir CS-43" display="MIS GUARDADOS" xr:uid="{00000000-0004-0000-0000-00002A000000}"/>
    <hyperlink ref="B47" location="'CS-44'!A1" tooltip="Abrir CS-44" display="MIS EXPERIENCIAS PUBLICADAS EN EL PERFIL" xr:uid="{00000000-0004-0000-0000-00002B000000}"/>
    <hyperlink ref="B48" location="'CS-45'!A1" tooltip="Abrir CS-45" display="MI NÚMERO DE AMIGOS Y SEGUIDORES" xr:uid="{00000000-0004-0000-0000-00002C000000}"/>
    <hyperlink ref="B49" location="'CS-46'!A1" tooltip="Abrir CS-46" display="MIS CIUDADES" xr:uid="{00000000-0004-0000-0000-00002D000000}"/>
    <hyperlink ref="B50" location="'CS-47'!A1" tooltip="Abrir CS-47" display="CREAR MI PERFIL" xr:uid="{00000000-0004-0000-0000-00002E000000}"/>
    <hyperlink ref="B51" location="'CS-48'!A1" tooltip="Abrir CS-48" display="VALORACIONES DE MIS AMIGOS Y SEGUIDORES" xr:uid="{00000000-0004-0000-0000-00002F000000}"/>
    <hyperlink ref="B52" location="'CS-49'!A1" tooltip="Abrir CS-49" display="CREACIÓN DE EXPERIENCIAS" xr:uid="{00000000-0004-0000-0000-000030000000}"/>
    <hyperlink ref="B53" location="'CS-50'!A1" tooltip="Abrir CS-50" display="LUGARES DE LA EXPERIENCIA" xr:uid="{00000000-0004-0000-0000-000031000000}"/>
    <hyperlink ref="B54" location="'CS-51'!A1" tooltip="Abrir CS-51" display="ITINERARIO DE EXPERIENCIAS" xr:uid="{00000000-0004-0000-0000-000032000000}"/>
    <hyperlink ref="B55" location="'CS-52'!A1" tooltip="Abrir CS-52" display="FOTOS Y COMENTARIOS DE LUGARES" xr:uid="{00000000-0004-0000-0000-000033000000}"/>
    <hyperlink ref="B56" location="'CS-53'!A1" tooltip="Abrir CS-53" display="DURACIÓN Y TARIFA DE LA EXPERIENCIA" xr:uid="{00000000-0004-0000-0000-000034000000}"/>
    <hyperlink ref="B57" location="'CS-54'!A1" tooltip="Abrir CS-54" display="EVENTOS DE UN LUGAR" xr:uid="{00000000-0004-0000-0000-000035000000}"/>
    <hyperlink ref="B58" location="'CS-55'!A1" tooltip="Abrir CS-55" display="CATEGORÍA DE LA EXPERIENCIA" xr:uid="{00000000-0004-0000-0000-000036000000}"/>
    <hyperlink ref="B59" location="'CS-56'!A1" tooltip="Abrir CS-56" display="MOMENTO RECOMENDADO DE LA EXPERIENCIA" xr:uid="{00000000-0004-0000-0000-000037000000}"/>
    <hyperlink ref="B60" location="'CS-57'!A1" tooltip="Abrir CS-57" display="EDICIÓN DE EXPERIENCIA" xr:uid="{00000000-0004-0000-0000-000038000000}"/>
    <hyperlink ref="B61" location="'CS-58'!A1" tooltip="Abrir CS-58" display="TRANSPORTE PÚBLICO DE LA EXPERIENCIA" xr:uid="{00000000-0004-0000-0000-000039000000}"/>
    <hyperlink ref="B62" location="'CS-59'!A1" tooltip="Abrir CS-59" display="CREAR UNA CUENTA" xr:uid="{00000000-0004-0000-0000-00003A000000}"/>
    <hyperlink ref="B63" location="'CS-60'!A1" tooltip="Abrir CS-60" display="METODOLOGÍA" xr:uid="{00000000-0004-0000-0000-00003B000000}"/>
    <hyperlink ref="B64" location="'CS-61'!A1" tooltip="Abrir CS-61" display="AMISTADES Y SEGUIDORES" xr:uid="{8E909EDD-8C49-4731-949C-37B4000BA286}"/>
    <hyperlink ref="B65" location="'CS-62'!A1" tooltip="Abrir CS-62" display="PERFIL DE OTRO USUARIO" xr:uid="{435D24CE-22C8-4DF9-B5E0-0A2AC1ED81B7}"/>
    <hyperlink ref="B66" location="'CS-63'!A1" tooltip="Abrir CS-63" display="PANTALLA DE VALORACIONES Y COMENTARIOS" xr:uid="{35FF9D6C-7966-4489-B1F7-CF06F7E93422}"/>
    <hyperlink ref="B67" location="'CS-64'!A1" tooltip="Abrir CS-64" display="CONTRASEÑA SEGURA" xr:uid="{60BF295A-A129-4B48-BFA5-8A1F06C7AD77}"/>
  </hyperlinks>
  <pageMargins left="0.75" right="0.75" top="1" bottom="1" header="0.5" footer="0.5"/>
  <pageSetup fitToHeight="0" orientation="landscape"/>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F27"/>
  <sheetViews>
    <sheetView workbookViewId="0">
      <selection activeCell="H12" sqref="H12"/>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CS-01 · VALORAR UNA EXPERIENCIA</v>
      </c>
      <c r="B1" s="32"/>
      <c r="C1" s="32"/>
      <c r="D1" s="32"/>
      <c r="E1" s="32"/>
      <c r="F1" s="7" t="s">
        <v>147</v>
      </c>
    </row>
    <row r="2" spans="1:6" ht="18" customHeight="1">
      <c r="A2" s="8" t="s">
        <v>3</v>
      </c>
      <c r="B2" s="30" t="s">
        <v>10</v>
      </c>
      <c r="C2" s="33"/>
      <c r="D2" s="33"/>
      <c r="E2" s="33"/>
      <c r="F2" s="33"/>
    </row>
    <row r="3" spans="1:6" ht="15" customHeight="1">
      <c r="A3" s="8" t="s">
        <v>4</v>
      </c>
      <c r="B3" s="29" t="str">
        <f>IFERROR(INDEX(Historias[Título],MATCH($B$2,Historias[Ref],0))&amp;"","")</f>
        <v>VALORAR UNA EXPERIENCIA</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1</v>
      </c>
      <c r="C7" s="33"/>
      <c r="D7" s="33"/>
      <c r="E7" s="33"/>
      <c r="F7" s="33"/>
    </row>
    <row r="8" spans="1:6" ht="15" customHeight="1">
      <c r="A8" s="8" t="s">
        <v>8</v>
      </c>
      <c r="B8" s="26">
        <f>SUMIFS(F:F,A:A,"&gt;0")/60</f>
        <v>0.85</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152</v>
      </c>
      <c r="C11" s="33"/>
      <c r="D11" s="33"/>
      <c r="E11" s="33"/>
      <c r="F11" s="33"/>
    </row>
    <row r="12" spans="1:6" ht="63" customHeight="1">
      <c r="A12" s="8" t="s">
        <v>153</v>
      </c>
      <c r="B12" s="27" t="s">
        <v>154</v>
      </c>
      <c r="C12" s="33"/>
      <c r="D12" s="33"/>
      <c r="E12" s="33"/>
      <c r="F12" s="33"/>
    </row>
    <row r="13" spans="1:6" ht="93" customHeight="1">
      <c r="A13" s="8" t="s">
        <v>155</v>
      </c>
      <c r="B13" s="27" t="s">
        <v>156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0.75" customHeight="1">
      <c r="A17" s="10">
        <f>IF(Obj_CS01[[#This Row],[Descripción]]="","",ROW()-ROW(Obj_CS01[[#Headers],[Objetivo]]))</f>
        <v>1</v>
      </c>
      <c r="B17" s="11" t="s">
        <v>164</v>
      </c>
      <c r="C17" s="5" t="s">
        <v>165</v>
      </c>
      <c r="D17" s="5" t="s">
        <v>149</v>
      </c>
      <c r="E17" s="12">
        <v>5</v>
      </c>
      <c r="F17" s="12">
        <v>6</v>
      </c>
    </row>
    <row r="18" spans="1:6" ht="43.5">
      <c r="A18" s="10">
        <f>IF(Obj_CS01[[#This Row],[Descripción]]="","",ROW()-ROW(Obj_CS01[[#Headers],[Objetivo]]))</f>
        <v>2</v>
      </c>
      <c r="B18" s="11" t="s">
        <v>167</v>
      </c>
      <c r="C18" s="5" t="s">
        <v>165</v>
      </c>
      <c r="D18" s="5" t="s">
        <v>149</v>
      </c>
      <c r="E18" s="12">
        <v>10</v>
      </c>
      <c r="F18" s="12">
        <v>12</v>
      </c>
    </row>
    <row r="19" spans="1:6" ht="43.5">
      <c r="A19" s="10">
        <f>IF(Obj_CS01[[#This Row],[Descripción]]="","",ROW()-ROW(Obj_CS01[[#Headers],[Objetivo]]))</f>
        <v>3</v>
      </c>
      <c r="B19" s="11" t="s">
        <v>169</v>
      </c>
      <c r="C19" s="5" t="s">
        <v>165</v>
      </c>
      <c r="D19" s="5" t="s">
        <v>149</v>
      </c>
      <c r="E19" s="12">
        <v>10</v>
      </c>
      <c r="F19" s="12">
        <v>5</v>
      </c>
    </row>
    <row r="20" spans="1:6" ht="43.5">
      <c r="A20" s="10">
        <f>IF(Obj_CS01[[#This Row],[Descripción]]="","",ROW()-ROW(Obj_CS01[[#Headers],[Objetivo]]))</f>
        <v>4</v>
      </c>
      <c r="B20" s="11" t="s">
        <v>171</v>
      </c>
      <c r="C20" s="5" t="s">
        <v>165</v>
      </c>
      <c r="D20" s="5" t="s">
        <v>149</v>
      </c>
      <c r="E20" s="12">
        <v>2</v>
      </c>
      <c r="F20" s="12">
        <v>1</v>
      </c>
    </row>
    <row r="21" spans="1:6" ht="43.5">
      <c r="A21" s="10">
        <f>IF(Obj_CS01[[#This Row],[Descripción]]="","",ROW()-ROW(Obj_CS01[[#Headers],[Objetivo]]))</f>
        <v>5</v>
      </c>
      <c r="B21" s="11" t="s">
        <v>173</v>
      </c>
      <c r="C21" s="5" t="s">
        <v>165</v>
      </c>
      <c r="D21" s="5" t="s">
        <v>149</v>
      </c>
      <c r="E21" s="12">
        <v>2</v>
      </c>
      <c r="F21" s="12">
        <v>10</v>
      </c>
    </row>
    <row r="22" spans="1:6" ht="43.5">
      <c r="A22" s="10">
        <f>IF(Obj_CS01[[#This Row],[Descripción]]="","",ROW()-ROW(Obj_CS01[[#Headers],[Objetivo]]))</f>
        <v>6</v>
      </c>
      <c r="B22" s="11" t="s">
        <v>175</v>
      </c>
      <c r="C22" s="5" t="s">
        <v>165</v>
      </c>
      <c r="D22" s="5" t="s">
        <v>149</v>
      </c>
      <c r="E22" s="12">
        <v>2</v>
      </c>
      <c r="F22" s="12">
        <v>2</v>
      </c>
    </row>
    <row r="23" spans="1:6" ht="43.5">
      <c r="A23" s="10">
        <f>IF(Obj_CS01[[#This Row],[Descripción]]="","",ROW()-ROW(Obj_CS01[[#Headers],[Objetivo]]))</f>
        <v>7</v>
      </c>
      <c r="B23" s="11" t="s">
        <v>177</v>
      </c>
      <c r="C23" s="5" t="s">
        <v>165</v>
      </c>
      <c r="D23" s="5" t="s">
        <v>149</v>
      </c>
      <c r="E23" s="12">
        <v>10</v>
      </c>
      <c r="F23" s="12">
        <v>6</v>
      </c>
    </row>
    <row r="24" spans="1:6" ht="28.5">
      <c r="A24" s="10">
        <f>IF(Obj_CS01[[#This Row],[Descripción]]="","",ROW()-ROW(Obj_CS01[[#Headers],[Objetivo]]))</f>
        <v>8</v>
      </c>
      <c r="B24" s="11" t="s">
        <v>179</v>
      </c>
      <c r="C24" s="5" t="s">
        <v>165</v>
      </c>
      <c r="D24" s="5" t="s">
        <v>149</v>
      </c>
      <c r="E24" s="12">
        <v>10</v>
      </c>
      <c r="F24" s="12">
        <v>3</v>
      </c>
    </row>
    <row r="25" spans="1:6" ht="57.75">
      <c r="A25" s="10">
        <f>IF(Obj_CS01[[#This Row],[Descripción]]="","",ROW()-ROW(Obj_CS01[[#Headers],[Objetivo]]))</f>
        <v>9</v>
      </c>
      <c r="B25" s="11" t="s">
        <v>181</v>
      </c>
      <c r="C25" s="5" t="s">
        <v>165</v>
      </c>
      <c r="D25" s="5" t="s">
        <v>149</v>
      </c>
      <c r="E25" s="12">
        <v>5</v>
      </c>
      <c r="F25" s="12">
        <v>4</v>
      </c>
    </row>
    <row r="26" spans="1:6" ht="43.5">
      <c r="A26" s="10">
        <f>IF(Obj_CS01[[#This Row],[Descripción]]="","",ROW()-ROW(Obj_CS01[[#Headers],[Objetivo]]))</f>
        <v>10</v>
      </c>
      <c r="B26" s="11" t="s">
        <v>183</v>
      </c>
      <c r="C26" s="5" t="s">
        <v>165</v>
      </c>
      <c r="D26" s="5" t="s">
        <v>149</v>
      </c>
      <c r="E26" s="12">
        <v>2</v>
      </c>
      <c r="F26" s="12">
        <v>2</v>
      </c>
    </row>
    <row r="27" spans="1:6">
      <c r="A27" s="21" t="s">
        <v>470</v>
      </c>
      <c r="B27" s="18"/>
      <c r="C27" s="22"/>
      <c r="D27" s="22"/>
      <c r="E27" s="23">
        <f>SUBTOTAL(109,Obj_CS01[Tiempo estimado])</f>
        <v>58</v>
      </c>
      <c r="F27" s="23">
        <f>SUBTOTAL(109,Obj_CS01[Tiempo total])</f>
        <v>51</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013" priority="1">
      <formula>$B4="En progreso"</formula>
    </cfRule>
    <cfRule type="expression" dxfId="1012" priority="2">
      <formula>$B4="En espera"</formula>
    </cfRule>
    <cfRule type="expression" dxfId="1011" priority="3">
      <formula>$B4="Finalizada"</formula>
    </cfRule>
    <cfRule type="expression" dxfId="1010" priority="4">
      <formula>$B4="Sin página"</formula>
    </cfRule>
  </conditionalFormatting>
  <conditionalFormatting sqref="B5">
    <cfRule type="expression" dxfId="1009" priority="5">
      <formula>$B5="I"</formula>
    </cfRule>
    <cfRule type="expression" dxfId="1008" priority="6">
      <formula>$B5="N"</formula>
    </cfRule>
    <cfRule type="expression" dxfId="1007" priority="7">
      <formula>$B5="M"</formula>
    </cfRule>
  </conditionalFormatting>
  <conditionalFormatting sqref="B6">
    <cfRule type="expression" dxfId="1006" priority="8">
      <formula>$B6="Bajo"</formula>
    </cfRule>
    <cfRule type="expression" dxfId="1005" priority="9">
      <formula>$B6="Medio bajo"</formula>
    </cfRule>
    <cfRule type="expression" dxfId="1004" priority="10">
      <formula>$B6="Medio"</formula>
    </cfRule>
    <cfRule type="expression" dxfId="1003" priority="11">
      <formula>$B6="Alto"</formula>
    </cfRule>
    <cfRule type="expression" dxfId="1002" priority="12">
      <formula>$B6="Muy alto"</formula>
    </cfRule>
  </conditionalFormatting>
  <conditionalFormatting sqref="C17:C324">
    <cfRule type="expression" dxfId="1001" priority="13">
      <formula>$C17="Sí"</formula>
    </cfRule>
    <cfRule type="expression" dxfId="1000" priority="14">
      <formula>$C17="No"</formula>
    </cfRule>
  </conditionalFormatting>
  <dataValidations count="3">
    <dataValidation type="list" allowBlank="1" showErrorMessage="1" errorTitle="Finalizado" error="Elige Sí o No." sqref="C17:C324" xr:uid="{00000000-0002-0000-0100-000000000000}">
      <formula1>"Sí,No"</formula1>
    </dataValidation>
    <dataValidation type="list" errorStyle="warning" allowBlank="1" showErrorMessage="1" errorTitle="Responsable" error="Ese nombre no está en la lista. ¿Lo dejas igualmente?" sqref="D17:D324" xr:uid="{00000000-0002-0000-0100-000001000000}">
      <formula1>"Joaquin,Matthew,Jorge,Flavia,Lucia,José"</formula1>
    </dataValidation>
    <dataValidation type="decimal" operator="greaterThanOrEqual" allowBlank="1" showErrorMessage="1" errorTitle="Tiempo" error="Escribe solo el número de minutos, por ejemplo 30." sqref="E17:F324" xr:uid="{00000000-0002-0000-0100-000002000000}">
      <formula1>0</formula1>
    </dataValidation>
  </dataValidations>
  <hyperlinks>
    <hyperlink ref="F1" location="'Índice'!A1" tooltip="Volver al índice" xr:uid="{00000000-0004-0000-0100-000000000000}"/>
  </hyperlinks>
  <pageMargins left="0.75" right="0.75" top="1" bottom="1" header="0.5" footer="0.5"/>
  <pageSetup fitToHeight="0"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CS-02 · COMENTAR Y MARCAR ÚTIL</v>
      </c>
      <c r="B1" s="32"/>
      <c r="C1" s="32"/>
      <c r="D1" s="32"/>
      <c r="E1" s="32"/>
      <c r="F1" s="7" t="s">
        <v>147</v>
      </c>
    </row>
    <row r="2" spans="1:6" ht="18" customHeight="1">
      <c r="A2" s="8" t="s">
        <v>3</v>
      </c>
      <c r="B2" s="30" t="s">
        <v>13</v>
      </c>
      <c r="C2" s="33"/>
      <c r="D2" s="33"/>
      <c r="E2" s="33"/>
      <c r="F2" s="33"/>
    </row>
    <row r="3" spans="1:6" ht="15" customHeight="1">
      <c r="A3" s="8" t="s">
        <v>4</v>
      </c>
      <c r="B3" s="29" t="str">
        <f>IFERROR(INDEX(Historias[Título],MATCH($B$2,Historias[Ref],0))&amp;"","")</f>
        <v>COMENTAR Y MARCAR ÚTIL</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184</v>
      </c>
      <c r="C11" s="33"/>
      <c r="D11" s="33"/>
      <c r="E11" s="33"/>
      <c r="F11" s="33"/>
    </row>
    <row r="12" spans="1:6" ht="48" customHeight="1">
      <c r="A12" s="8" t="s">
        <v>153</v>
      </c>
      <c r="B12" s="27" t="s">
        <v>185</v>
      </c>
      <c r="C12" s="33"/>
      <c r="D12" s="33"/>
      <c r="E12" s="33"/>
      <c r="F12" s="33"/>
    </row>
    <row r="13" spans="1:6" ht="93" customHeight="1">
      <c r="A13" s="8" t="s">
        <v>155</v>
      </c>
      <c r="B13" s="27" t="s">
        <v>186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IF(Obj_CS02[[#This Row],[Descripción]]="","",ROW()-ROW(Obj_CS02[[#Headers],[Objetivo]]))</f>
        <v/>
      </c>
      <c r="B17" s="11"/>
      <c r="C17" s="5"/>
      <c r="D17" s="5"/>
      <c r="E17" s="12"/>
      <c r="F17" s="12"/>
    </row>
    <row r="18" spans="1:6">
      <c r="A18" s="21" t="s">
        <v>470</v>
      </c>
      <c r="B18" s="18"/>
      <c r="C18" s="22"/>
      <c r="D18" s="22"/>
      <c r="E18" s="23">
        <f>SUBTOTAL(109,Obj_CS02[Tiempo estimado])</f>
        <v>0</v>
      </c>
      <c r="F18" s="23">
        <f>SUBTOTAL(109,Obj_CS02[Tiempo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92" priority="1">
      <formula>$B4="En progreso"</formula>
    </cfRule>
    <cfRule type="expression" dxfId="991" priority="2">
      <formula>$B4="En espera"</formula>
    </cfRule>
    <cfRule type="expression" dxfId="990" priority="3">
      <formula>$B4="Finalizada"</formula>
    </cfRule>
    <cfRule type="expression" dxfId="989" priority="4">
      <formula>$B4="Sin página"</formula>
    </cfRule>
  </conditionalFormatting>
  <conditionalFormatting sqref="B5">
    <cfRule type="expression" dxfId="988" priority="5">
      <formula>$B5="I"</formula>
    </cfRule>
    <cfRule type="expression" dxfId="987" priority="6">
      <formula>$B5="N"</formula>
    </cfRule>
    <cfRule type="expression" dxfId="986" priority="7">
      <formula>$B5="M"</formula>
    </cfRule>
  </conditionalFormatting>
  <conditionalFormatting sqref="B6">
    <cfRule type="expression" dxfId="985" priority="8">
      <formula>$B6="Bajo"</formula>
    </cfRule>
    <cfRule type="expression" dxfId="984" priority="9">
      <formula>$B6="Medio bajo"</formula>
    </cfRule>
    <cfRule type="expression" dxfId="983" priority="10">
      <formula>$B6="Medio"</formula>
    </cfRule>
    <cfRule type="expression" dxfId="982" priority="11">
      <formula>$B6="Alto"</formula>
    </cfRule>
    <cfRule type="expression" dxfId="981" priority="12">
      <formula>$B6="Muy alto"</formula>
    </cfRule>
  </conditionalFormatting>
  <conditionalFormatting sqref="C17:C316">
    <cfRule type="expression" dxfId="980" priority="13">
      <formula>$C17="Sí"</formula>
    </cfRule>
    <cfRule type="expression" dxfId="979" priority="14">
      <formula>$C17="No"</formula>
    </cfRule>
  </conditionalFormatting>
  <dataValidations count="3">
    <dataValidation type="list" allowBlank="1" showErrorMessage="1" errorTitle="Finalizado" error="Elige Sí o No." sqref="C17:C316" xr:uid="{00000000-0002-0000-0200-000000000000}">
      <formula1>"Sí,No"</formula1>
    </dataValidation>
    <dataValidation type="list" errorStyle="warning" allowBlank="1" showErrorMessage="1" errorTitle="Responsable" error="Ese nombre no está en la lista. ¿Lo dejas igualmente?" sqref="D17:D316" xr:uid="{00000000-0002-0000-0200-000001000000}">
      <formula1>"Joaquin,Matthew,Jorge,Flavia,Lucia,José"</formula1>
    </dataValidation>
    <dataValidation type="decimal" operator="greaterThanOrEqual" allowBlank="1" showErrorMessage="1" errorTitle="Tiempo" error="Escribe solo el número de minutos, por ejemplo 30." sqref="E17:F316" xr:uid="{00000000-0002-0000-0200-000002000000}">
      <formula1>0</formula1>
    </dataValidation>
  </dataValidations>
  <hyperlinks>
    <hyperlink ref="F1" location="'Índice'!A1" tooltip="Volver al índice" xr:uid="{00000000-0004-0000-0200-000000000000}"/>
  </hyperlinks>
  <pageMargins left="0.75" right="0.75" top="1" bottom="1" header="0.5" footer="0.5"/>
  <pageSetup fitToHeight="0"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CS-03 · SEÑALAR INFORMACIÓN DESACTUALIZADA</v>
      </c>
      <c r="B1" s="32"/>
      <c r="C1" s="32"/>
      <c r="D1" s="32"/>
      <c r="E1" s="32"/>
      <c r="F1" s="7" t="s">
        <v>147</v>
      </c>
    </row>
    <row r="2" spans="1:6" ht="18" customHeight="1">
      <c r="A2" s="8" t="s">
        <v>3</v>
      </c>
      <c r="B2" s="30" t="s">
        <v>15</v>
      </c>
      <c r="C2" s="33"/>
      <c r="D2" s="33"/>
      <c r="E2" s="33"/>
      <c r="F2" s="33"/>
    </row>
    <row r="3" spans="1:6" ht="15" customHeight="1">
      <c r="A3" s="8" t="s">
        <v>4</v>
      </c>
      <c r="B3" s="29" t="str">
        <f>IFERROR(INDEX(Historias[Título],MATCH($B$2,Historias[Ref],0))&amp;"","")</f>
        <v>SEÑALAR INFORMACIÓN DESACTUALIZADA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187</v>
      </c>
      <c r="C11" s="33"/>
      <c r="D11" s="33"/>
      <c r="E11" s="33"/>
      <c r="F11" s="33"/>
    </row>
    <row r="12" spans="1:6" ht="63" customHeight="1">
      <c r="A12" s="8" t="s">
        <v>153</v>
      </c>
      <c r="B12" s="27" t="s">
        <v>188</v>
      </c>
      <c r="C12" s="33"/>
      <c r="D12" s="33"/>
      <c r="E12" s="33"/>
      <c r="F12" s="33"/>
    </row>
    <row r="13" spans="1:6" ht="93" customHeight="1">
      <c r="A13" s="8" t="s">
        <v>155</v>
      </c>
      <c r="B13" s="27" t="s">
        <v>189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IF(Obj_CS03[[#This Row],[Descripción]]="","",ROW()-ROW(Obj_CS03[[#Headers],[Objetivo]]))</f>
        <v/>
      </c>
      <c r="B17" s="11"/>
      <c r="C17" s="5"/>
      <c r="D17" s="5"/>
      <c r="E17" s="12"/>
      <c r="F17" s="12"/>
    </row>
    <row r="18" spans="1:6">
      <c r="A18" s="21" t="s">
        <v>470</v>
      </c>
      <c r="B18" s="18"/>
      <c r="C18" s="22"/>
      <c r="D18" s="22"/>
      <c r="E18" s="23">
        <f>SUBTOTAL(109,Obj_CS03[Tiempo estimado])</f>
        <v>0</v>
      </c>
      <c r="F18" s="23">
        <f>SUBTOTAL(109,Obj_CS03[Tiempo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78" priority="1">
      <formula>$B4="En progreso"</formula>
    </cfRule>
    <cfRule type="expression" dxfId="977" priority="2">
      <formula>$B4="En espera"</formula>
    </cfRule>
    <cfRule type="expression" dxfId="976" priority="3">
      <formula>$B4="Finalizada"</formula>
    </cfRule>
    <cfRule type="expression" dxfId="975" priority="4">
      <formula>$B4="Sin página"</formula>
    </cfRule>
  </conditionalFormatting>
  <conditionalFormatting sqref="B5">
    <cfRule type="expression" dxfId="974" priority="5">
      <formula>$B5="I"</formula>
    </cfRule>
    <cfRule type="expression" dxfId="973" priority="6">
      <formula>$B5="N"</formula>
    </cfRule>
    <cfRule type="expression" dxfId="972" priority="7">
      <formula>$B5="M"</formula>
    </cfRule>
  </conditionalFormatting>
  <conditionalFormatting sqref="B6">
    <cfRule type="expression" dxfId="971" priority="8">
      <formula>$B6="Bajo"</formula>
    </cfRule>
    <cfRule type="expression" dxfId="970" priority="9">
      <formula>$B6="Medio bajo"</formula>
    </cfRule>
    <cfRule type="expression" dxfId="969" priority="10">
      <formula>$B6="Medio"</formula>
    </cfRule>
    <cfRule type="expression" dxfId="968" priority="11">
      <formula>$B6="Alto"</formula>
    </cfRule>
    <cfRule type="expression" dxfId="967" priority="12">
      <formula>$B6="Muy alto"</formula>
    </cfRule>
  </conditionalFormatting>
  <conditionalFormatting sqref="C17:C316">
    <cfRule type="expression" dxfId="966" priority="13">
      <formula>$C17="Sí"</formula>
    </cfRule>
    <cfRule type="expression" dxfId="965" priority="14">
      <formula>$C17="No"</formula>
    </cfRule>
  </conditionalFormatting>
  <dataValidations count="3">
    <dataValidation type="list" allowBlank="1" showErrorMessage="1" errorTitle="Finalizado" error="Elige Sí o No." sqref="C17:C316" xr:uid="{00000000-0002-0000-0300-000000000000}">
      <formula1>"Sí,No"</formula1>
    </dataValidation>
    <dataValidation type="list" errorStyle="warning" allowBlank="1" showErrorMessage="1" errorTitle="Responsable" error="Ese nombre no está en la lista. ¿Lo dejas igualmente?" sqref="D17:D316" xr:uid="{00000000-0002-0000-0300-000001000000}">
      <formula1>"Joaquin,Matthew,Jorge,Flavia,Lucia,José"</formula1>
    </dataValidation>
    <dataValidation type="decimal" operator="greaterThanOrEqual" allowBlank="1" showErrorMessage="1" errorTitle="Tiempo" error="Escribe solo el número de minutos, por ejemplo 30." sqref="E17:F316" xr:uid="{00000000-0002-0000-0300-000002000000}">
      <formula1>0</formula1>
    </dataValidation>
  </dataValidations>
  <hyperlinks>
    <hyperlink ref="F1" location="'Índice'!A1" tooltip="Volver al índice" xr:uid="{00000000-0004-0000-0300-000000000000}"/>
  </hyperlinks>
  <pageMargins left="0.75" right="0.75" top="1" bottom="1" header="0.5" footer="0.5"/>
  <pageSetup fitToHeight="0"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CS-04 · REPORTAR CONTENIDO</v>
      </c>
      <c r="B1" s="32"/>
      <c r="C1" s="32"/>
      <c r="D1" s="32"/>
      <c r="E1" s="32"/>
      <c r="F1" s="7" t="s">
        <v>147</v>
      </c>
    </row>
    <row r="2" spans="1:6" ht="18" customHeight="1">
      <c r="A2" s="8" t="s">
        <v>3</v>
      </c>
      <c r="B2" s="30" t="s">
        <v>17</v>
      </c>
      <c r="C2" s="33"/>
      <c r="D2" s="33"/>
      <c r="E2" s="33"/>
      <c r="F2" s="33"/>
    </row>
    <row r="3" spans="1:6" ht="15" customHeight="1">
      <c r="A3" s="8" t="s">
        <v>4</v>
      </c>
      <c r="B3" s="29" t="str">
        <f>IFERROR(INDEX(Historias[Título],MATCH($B$2,Historias[Ref],0))&amp;"","")</f>
        <v>REPORTAR CONTENIDO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190</v>
      </c>
      <c r="C11" s="33"/>
      <c r="D11" s="33"/>
      <c r="E11" s="33"/>
      <c r="F11" s="33"/>
    </row>
    <row r="12" spans="1:6" ht="48" customHeight="1">
      <c r="A12" s="8" t="s">
        <v>153</v>
      </c>
      <c r="B12" s="27" t="s">
        <v>191</v>
      </c>
      <c r="C12" s="33"/>
      <c r="D12" s="33"/>
      <c r="E12" s="33"/>
      <c r="F12" s="33"/>
    </row>
    <row r="13" spans="1:6" ht="78" customHeight="1">
      <c r="A13" s="8" t="s">
        <v>155</v>
      </c>
      <c r="B13" s="27" t="s">
        <v>192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IF(Obj_CS04[[#This Row],[Descripción]]="","",ROW()-ROW(Obj_CS04[[#Headers],[Objetivo]]))</f>
        <v/>
      </c>
      <c r="B17" s="11"/>
      <c r="C17" s="5"/>
      <c r="D17" s="5"/>
      <c r="E17" s="12"/>
      <c r="F17" s="12"/>
    </row>
    <row r="18" spans="1:6">
      <c r="A18" s="21" t="s">
        <v>470</v>
      </c>
      <c r="B18" s="18"/>
      <c r="C18" s="22"/>
      <c r="D18" s="22"/>
      <c r="E18" s="23">
        <f>SUBTOTAL(109,Obj_CS04[Tiempo estimado])</f>
        <v>0</v>
      </c>
      <c r="F18" s="23">
        <f>SUBTOTAL(109,Obj_CS04[Tiempo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64" priority="1">
      <formula>$B4="En progreso"</formula>
    </cfRule>
    <cfRule type="expression" dxfId="963" priority="2">
      <formula>$B4="En espera"</formula>
    </cfRule>
    <cfRule type="expression" dxfId="962" priority="3">
      <formula>$B4="Finalizada"</formula>
    </cfRule>
    <cfRule type="expression" dxfId="961" priority="4">
      <formula>$B4="Sin página"</formula>
    </cfRule>
  </conditionalFormatting>
  <conditionalFormatting sqref="B5">
    <cfRule type="expression" dxfId="960" priority="5">
      <formula>$B5="I"</formula>
    </cfRule>
    <cfRule type="expression" dxfId="959" priority="6">
      <formula>$B5="N"</formula>
    </cfRule>
    <cfRule type="expression" dxfId="958" priority="7">
      <formula>$B5="M"</formula>
    </cfRule>
  </conditionalFormatting>
  <conditionalFormatting sqref="B6">
    <cfRule type="expression" dxfId="957" priority="8">
      <formula>$B6="Bajo"</formula>
    </cfRule>
    <cfRule type="expression" dxfId="956" priority="9">
      <formula>$B6="Medio bajo"</formula>
    </cfRule>
    <cfRule type="expression" dxfId="955" priority="10">
      <formula>$B6="Medio"</formula>
    </cfRule>
    <cfRule type="expression" dxfId="954" priority="11">
      <formula>$B6="Alto"</formula>
    </cfRule>
    <cfRule type="expression" dxfId="953" priority="12">
      <formula>$B6="Muy alto"</formula>
    </cfRule>
  </conditionalFormatting>
  <conditionalFormatting sqref="C17:C316">
    <cfRule type="expression" dxfId="952" priority="13">
      <formula>$C17="Sí"</formula>
    </cfRule>
    <cfRule type="expression" dxfId="951" priority="14">
      <formula>$C17="No"</formula>
    </cfRule>
  </conditionalFormatting>
  <dataValidations count="3">
    <dataValidation type="list" allowBlank="1" showErrorMessage="1" errorTitle="Finalizado" error="Elige Sí o No." sqref="C17:C316" xr:uid="{00000000-0002-0000-0400-000000000000}">
      <formula1>"Sí,No"</formula1>
    </dataValidation>
    <dataValidation type="list" errorStyle="warning" allowBlank="1" showErrorMessage="1" errorTitle="Responsable" error="Ese nombre no está en la lista. ¿Lo dejas igualmente?" sqref="D17:D316" xr:uid="{00000000-0002-0000-0400-000001000000}">
      <formula1>"Joaquin,Matthew,Jorge,Flavia,Lucia,José"</formula1>
    </dataValidation>
    <dataValidation type="decimal" operator="greaterThanOrEqual" allowBlank="1" showErrorMessage="1" errorTitle="Tiempo" error="Escribe solo el número de minutos, por ejemplo 30." sqref="E17:F316" xr:uid="{00000000-0002-0000-0400-000002000000}">
      <formula1>0</formula1>
    </dataValidation>
  </dataValidations>
  <hyperlinks>
    <hyperlink ref="F1" location="'Índice'!A1" tooltip="Volver al índice" xr:uid="{00000000-0004-0000-0400-000000000000}"/>
  </hyperlinks>
  <pageMargins left="0.75" right="0.75" top="1" bottom="1" header="0.5" footer="0.5"/>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18"/>
  <sheetViews>
    <sheetView workbookViewId="0">
      <selection activeCell="B23" sqref="B23"/>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CS-05 · REVISAR REPORTES PENDIENTES</v>
      </c>
      <c r="B1" s="32"/>
      <c r="C1" s="32"/>
      <c r="D1" s="32"/>
      <c r="E1" s="32"/>
      <c r="F1" s="7" t="s">
        <v>147</v>
      </c>
    </row>
    <row r="2" spans="1:6" ht="18" customHeight="1">
      <c r="A2" s="8" t="s">
        <v>3</v>
      </c>
      <c r="B2" s="30" t="s">
        <v>20</v>
      </c>
      <c r="C2" s="33"/>
      <c r="D2" s="33"/>
      <c r="E2" s="33"/>
      <c r="F2" s="33"/>
    </row>
    <row r="3" spans="1:6" ht="15" customHeight="1">
      <c r="A3" s="8" t="s">
        <v>4</v>
      </c>
      <c r="B3" s="29" t="str">
        <f>IFERROR(INDEX(Historias[Título],MATCH($B$2,Historias[Ref],0))&amp;"","")</f>
        <v>REVISAR REPORTES PENDIENTES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193</v>
      </c>
      <c r="C11" s="33"/>
      <c r="D11" s="33"/>
      <c r="E11" s="33"/>
      <c r="F11" s="33"/>
    </row>
    <row r="12" spans="1:6" ht="48" customHeight="1">
      <c r="A12" s="8" t="s">
        <v>153</v>
      </c>
      <c r="B12" s="27" t="s">
        <v>194</v>
      </c>
      <c r="C12" s="33"/>
      <c r="D12" s="33"/>
      <c r="E12" s="33"/>
      <c r="F12" s="33"/>
    </row>
    <row r="13" spans="1:6" ht="78" customHeight="1">
      <c r="A13" s="8" t="s">
        <v>155</v>
      </c>
      <c r="B13" s="27" t="s">
        <v>195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IF(Obj_CS05[[#This Row],[Descripción]]="","",ROW()-ROW(Obj_CS05[[#Headers],[Objetivo]]))</f>
        <v/>
      </c>
      <c r="B17" s="11"/>
      <c r="C17" s="5"/>
      <c r="D17" s="5"/>
      <c r="E17" s="12"/>
      <c r="F17" s="12"/>
    </row>
    <row r="18" spans="1:6">
      <c r="A18" s="21" t="s">
        <v>470</v>
      </c>
      <c r="B18" s="18"/>
      <c r="C18" s="22"/>
      <c r="D18" s="22"/>
      <c r="E18" s="23">
        <f>SUBTOTAL(109,Obj_CS05[Tiempo estimado])</f>
        <v>0</v>
      </c>
      <c r="F18" s="23">
        <f>SUBTOTAL(109,Obj_CS05[Tiempo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50" priority="1">
      <formula>$B4="En progreso"</formula>
    </cfRule>
    <cfRule type="expression" dxfId="949" priority="2">
      <formula>$B4="En espera"</formula>
    </cfRule>
    <cfRule type="expression" dxfId="948" priority="3">
      <formula>$B4="Finalizada"</formula>
    </cfRule>
    <cfRule type="expression" dxfId="947" priority="4">
      <formula>$B4="Sin página"</formula>
    </cfRule>
  </conditionalFormatting>
  <conditionalFormatting sqref="B5">
    <cfRule type="expression" dxfId="946" priority="5">
      <formula>$B5="I"</formula>
    </cfRule>
    <cfRule type="expression" dxfId="945" priority="6">
      <formula>$B5="N"</formula>
    </cfRule>
    <cfRule type="expression" dxfId="944" priority="7">
      <formula>$B5="M"</formula>
    </cfRule>
  </conditionalFormatting>
  <conditionalFormatting sqref="B6">
    <cfRule type="expression" dxfId="943" priority="8">
      <formula>$B6="Bajo"</formula>
    </cfRule>
    <cfRule type="expression" dxfId="942" priority="9">
      <formula>$B6="Medio bajo"</formula>
    </cfRule>
    <cfRule type="expression" dxfId="941" priority="10">
      <formula>$B6="Medio"</formula>
    </cfRule>
    <cfRule type="expression" dxfId="940" priority="11">
      <formula>$B6="Alto"</formula>
    </cfRule>
    <cfRule type="expression" dxfId="939" priority="12">
      <formula>$B6="Muy alto"</formula>
    </cfRule>
  </conditionalFormatting>
  <conditionalFormatting sqref="C17:C316">
    <cfRule type="expression" dxfId="938" priority="13">
      <formula>$C17="Sí"</formula>
    </cfRule>
    <cfRule type="expression" dxfId="937" priority="14">
      <formula>$C17="No"</formula>
    </cfRule>
  </conditionalFormatting>
  <dataValidations count="3">
    <dataValidation type="list" allowBlank="1" showErrorMessage="1" errorTitle="Finalizado" error="Elige Sí o No." sqref="C17:C316" xr:uid="{00000000-0002-0000-0500-000000000000}">
      <formula1>"Sí,No"</formula1>
    </dataValidation>
    <dataValidation type="list" errorStyle="warning" allowBlank="1" showErrorMessage="1" errorTitle="Responsable" error="Ese nombre no está en la lista. ¿Lo dejas igualmente?" sqref="D17:D316" xr:uid="{00000000-0002-0000-0500-000001000000}">
      <formula1>"Joaquin,Matthew,Jorge,Flavia,Lucia,José"</formula1>
    </dataValidation>
    <dataValidation type="decimal" operator="greaterThanOrEqual" allowBlank="1" showErrorMessage="1" errorTitle="Tiempo" error="Escribe solo el número de minutos, por ejemplo 30." sqref="E17:F316" xr:uid="{00000000-0002-0000-0500-000002000000}">
      <formula1>0</formula1>
    </dataValidation>
  </dataValidations>
  <hyperlinks>
    <hyperlink ref="F1" location="'Índice'!A1" tooltip="Volver al índice" xr:uid="{00000000-0004-0000-0500-000000000000}"/>
  </hyperlinks>
  <pageMargins left="0.75" right="0.75" top="1" bottom="1" header="0.5" footer="0.5"/>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CS-06 · RETIRAR CONTENIDO Y CERRAR REPORTE</v>
      </c>
      <c r="B1" s="32"/>
      <c r="C1" s="32"/>
      <c r="D1" s="32"/>
      <c r="E1" s="32"/>
      <c r="F1" s="7" t="s">
        <v>147</v>
      </c>
    </row>
    <row r="2" spans="1:6" ht="18" customHeight="1">
      <c r="A2" s="8" t="s">
        <v>3</v>
      </c>
      <c r="B2" s="30" t="s">
        <v>22</v>
      </c>
      <c r="C2" s="33"/>
      <c r="D2" s="33"/>
      <c r="E2" s="33"/>
      <c r="F2" s="33"/>
    </row>
    <row r="3" spans="1:6" ht="15" customHeight="1">
      <c r="A3" s="8" t="s">
        <v>4</v>
      </c>
      <c r="B3" s="29" t="str">
        <f>IFERROR(INDEX(Historias[Título],MATCH($B$2,Historias[Ref],0))&amp;"","")</f>
        <v>RETIRAR CONTENIDO Y CERRAR REPORTE</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196</v>
      </c>
      <c r="C11" s="33"/>
      <c r="D11" s="33"/>
      <c r="E11" s="33"/>
      <c r="F11" s="33"/>
    </row>
    <row r="12" spans="1:6" ht="48" customHeight="1">
      <c r="A12" s="8" t="s">
        <v>153</v>
      </c>
      <c r="B12" s="27" t="s">
        <v>197</v>
      </c>
      <c r="C12" s="33"/>
      <c r="D12" s="33"/>
      <c r="E12" s="33"/>
      <c r="F12" s="33"/>
    </row>
    <row r="13" spans="1:6" ht="93" customHeight="1">
      <c r="A13" s="8" t="s">
        <v>155</v>
      </c>
      <c r="B13" s="27" t="s">
        <v>198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IF(Obj_CS06[[#This Row],[Descripción]]="","",ROW()-ROW(Obj_CS06[[#Headers],[Objetivo]]))</f>
        <v/>
      </c>
      <c r="B17" s="11"/>
      <c r="C17" s="5"/>
      <c r="D17" s="5"/>
      <c r="E17" s="12"/>
      <c r="F17" s="12"/>
    </row>
    <row r="18" spans="1:6">
      <c r="A18" s="21" t="s">
        <v>470</v>
      </c>
      <c r="B18" s="18"/>
      <c r="C18" s="22"/>
      <c r="D18" s="22"/>
      <c r="E18" s="23">
        <f>SUBTOTAL(109,Obj_CS06[Tiempo estimado])</f>
        <v>0</v>
      </c>
      <c r="F18" s="23">
        <f>SUBTOTAL(109,Obj_CS06[Tiempo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36" priority="1">
      <formula>$B4="En progreso"</formula>
    </cfRule>
    <cfRule type="expression" dxfId="935" priority="2">
      <formula>$B4="En espera"</formula>
    </cfRule>
    <cfRule type="expression" dxfId="934" priority="3">
      <formula>$B4="Finalizada"</formula>
    </cfRule>
    <cfRule type="expression" dxfId="933" priority="4">
      <formula>$B4="Sin página"</formula>
    </cfRule>
  </conditionalFormatting>
  <conditionalFormatting sqref="B5">
    <cfRule type="expression" dxfId="932" priority="5">
      <formula>$B5="I"</formula>
    </cfRule>
    <cfRule type="expression" dxfId="931" priority="6">
      <formula>$B5="N"</formula>
    </cfRule>
    <cfRule type="expression" dxfId="930" priority="7">
      <formula>$B5="M"</formula>
    </cfRule>
  </conditionalFormatting>
  <conditionalFormatting sqref="B6">
    <cfRule type="expression" dxfId="929" priority="8">
      <formula>$B6="Bajo"</formula>
    </cfRule>
    <cfRule type="expression" dxfId="928" priority="9">
      <formula>$B6="Medio bajo"</formula>
    </cfRule>
    <cfRule type="expression" dxfId="927" priority="10">
      <formula>$B6="Medio"</formula>
    </cfRule>
    <cfRule type="expression" dxfId="926" priority="11">
      <formula>$B6="Alto"</formula>
    </cfRule>
    <cfRule type="expression" dxfId="925" priority="12">
      <formula>$B6="Muy alto"</formula>
    </cfRule>
  </conditionalFormatting>
  <conditionalFormatting sqref="C17:C316">
    <cfRule type="expression" dxfId="924" priority="13">
      <formula>$C17="Sí"</formula>
    </cfRule>
    <cfRule type="expression" dxfId="923" priority="14">
      <formula>$C17="No"</formula>
    </cfRule>
  </conditionalFormatting>
  <dataValidations count="3">
    <dataValidation type="list" allowBlank="1" showErrorMessage="1" errorTitle="Finalizado" error="Elige Sí o No." sqref="C17:C316" xr:uid="{00000000-0002-0000-0600-000000000000}">
      <formula1>"Sí,No"</formula1>
    </dataValidation>
    <dataValidation type="list" errorStyle="warning" allowBlank="1" showErrorMessage="1" errorTitle="Responsable" error="Ese nombre no está en la lista. ¿Lo dejas igualmente?" sqref="D17:D316" xr:uid="{00000000-0002-0000-0600-000001000000}">
      <formula1>"Joaquin,Matthew,Jorge,Flavia,Lucia,José"</formula1>
    </dataValidation>
    <dataValidation type="decimal" operator="greaterThanOrEqual" allowBlank="1" showErrorMessage="1" errorTitle="Tiempo" error="Escribe solo el número de minutos, por ejemplo 30." sqref="E17:F316" xr:uid="{00000000-0002-0000-0600-000002000000}">
      <formula1>0</formula1>
    </dataValidation>
  </dataValidations>
  <hyperlinks>
    <hyperlink ref="F1" location="'Índice'!A1" tooltip="Volver al índice" xr:uid="{00000000-0004-0000-0600-000000000000}"/>
  </hyperlinks>
  <pageMargins left="0.75" right="0.75" top="1" bottom="1" header="0.5" footer="0.5"/>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CS-07 · AVISOS DE ACTIVIDAD</v>
      </c>
      <c r="B1" s="32"/>
      <c r="C1" s="32"/>
      <c r="D1" s="32"/>
      <c r="E1" s="32"/>
      <c r="F1" s="7" t="s">
        <v>147</v>
      </c>
    </row>
    <row r="2" spans="1:6" ht="18" customHeight="1">
      <c r="A2" s="8" t="s">
        <v>3</v>
      </c>
      <c r="B2" s="30" t="s">
        <v>25</v>
      </c>
      <c r="C2" s="33"/>
      <c r="D2" s="33"/>
      <c r="E2" s="33"/>
      <c r="F2" s="33"/>
    </row>
    <row r="3" spans="1:6" ht="15" customHeight="1">
      <c r="A3" s="8" t="s">
        <v>4</v>
      </c>
      <c r="B3" s="29" t="str">
        <f>IFERROR(INDEX(Historias[Título],MATCH($B$2,Historias[Ref],0))&amp;"","")</f>
        <v>AVISOS DE ACTIVIDAD</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199</v>
      </c>
      <c r="C11" s="33"/>
      <c r="D11" s="33"/>
      <c r="E11" s="33"/>
      <c r="F11" s="33"/>
    </row>
    <row r="12" spans="1:6" ht="63" customHeight="1">
      <c r="A12" s="8" t="s">
        <v>153</v>
      </c>
      <c r="B12" s="27" t="s">
        <v>200</v>
      </c>
      <c r="C12" s="33"/>
      <c r="D12" s="33"/>
      <c r="E12" s="33"/>
      <c r="F12" s="33"/>
    </row>
    <row r="13" spans="1:6" ht="78" customHeight="1">
      <c r="A13" s="8" t="s">
        <v>155</v>
      </c>
      <c r="B13" s="27" t="s">
        <v>201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IF(Obj_CS07[[#This Row],[Descripción]]="","",ROW()-ROW(Obj_CS07[[#Headers],[Objetivo]]))</f>
        <v/>
      </c>
      <c r="B17" s="11"/>
      <c r="C17" s="5"/>
      <c r="D17" s="5"/>
      <c r="E17" s="12"/>
      <c r="F17" s="12"/>
    </row>
    <row r="18" spans="1:6">
      <c r="A18" s="21" t="s">
        <v>470</v>
      </c>
      <c r="B18" s="18"/>
      <c r="C18" s="22"/>
      <c r="D18" s="22"/>
      <c r="E18" s="23">
        <f>SUBTOTAL(109,Obj_CS07[Tiempo estimado])</f>
        <v>0</v>
      </c>
      <c r="F18" s="23">
        <f>SUBTOTAL(109,Obj_CS07[Tiempo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22" priority="1">
      <formula>$B4="En progreso"</formula>
    </cfRule>
    <cfRule type="expression" dxfId="921" priority="2">
      <formula>$B4="En espera"</formula>
    </cfRule>
    <cfRule type="expression" dxfId="920" priority="3">
      <formula>$B4="Finalizada"</formula>
    </cfRule>
    <cfRule type="expression" dxfId="919" priority="4">
      <formula>$B4="Sin página"</formula>
    </cfRule>
  </conditionalFormatting>
  <conditionalFormatting sqref="B5">
    <cfRule type="expression" dxfId="918" priority="5">
      <formula>$B5="I"</formula>
    </cfRule>
    <cfRule type="expression" dxfId="917" priority="6">
      <formula>$B5="N"</formula>
    </cfRule>
    <cfRule type="expression" dxfId="916" priority="7">
      <formula>$B5="M"</formula>
    </cfRule>
  </conditionalFormatting>
  <conditionalFormatting sqref="B6">
    <cfRule type="expression" dxfId="915" priority="8">
      <formula>$B6="Bajo"</formula>
    </cfRule>
    <cfRule type="expression" dxfId="914" priority="9">
      <formula>$B6="Medio bajo"</formula>
    </cfRule>
    <cfRule type="expression" dxfId="913" priority="10">
      <formula>$B6="Medio"</formula>
    </cfRule>
    <cfRule type="expression" dxfId="912" priority="11">
      <formula>$B6="Alto"</formula>
    </cfRule>
    <cfRule type="expression" dxfId="911" priority="12">
      <formula>$B6="Muy alto"</formula>
    </cfRule>
  </conditionalFormatting>
  <conditionalFormatting sqref="C17:C316">
    <cfRule type="expression" dxfId="910" priority="13">
      <formula>$C17="Sí"</formula>
    </cfRule>
    <cfRule type="expression" dxfId="909" priority="14">
      <formula>$C17="No"</formula>
    </cfRule>
  </conditionalFormatting>
  <dataValidations count="3">
    <dataValidation type="list" allowBlank="1" showErrorMessage="1" errorTitle="Finalizado" error="Elige Sí o No." sqref="C17:C316" xr:uid="{00000000-0002-0000-0700-000000000000}">
      <formula1>"Sí,No"</formula1>
    </dataValidation>
    <dataValidation type="list" errorStyle="warning" allowBlank="1" showErrorMessage="1" errorTitle="Responsable" error="Ese nombre no está en la lista. ¿Lo dejas igualmente?" sqref="D17:D316" xr:uid="{00000000-0002-0000-0700-000001000000}">
      <formula1>"Joaquin,Matthew,Jorge,Flavia,Lucia,José"</formula1>
    </dataValidation>
    <dataValidation type="decimal" operator="greaterThanOrEqual" allowBlank="1" showErrorMessage="1" errorTitle="Tiempo" error="Escribe solo el número de minutos, por ejemplo 30." sqref="E17:F316" xr:uid="{00000000-0002-0000-0700-000002000000}">
      <formula1>0</formula1>
    </dataValidation>
  </dataValidations>
  <hyperlinks>
    <hyperlink ref="F1" location="'Índice'!A1" tooltip="Volver al índice" xr:uid="{00000000-0004-0000-0700-000000000000}"/>
  </hyperlinks>
  <pageMargins left="0.75" right="0.75" top="1" bottom="1" header="0.5" footer="0.5"/>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CS-08 · CONFIGURAR MIS AVISOS</v>
      </c>
      <c r="B1" s="32"/>
      <c r="C1" s="32"/>
      <c r="D1" s="32"/>
      <c r="E1" s="32"/>
      <c r="F1" s="7" t="s">
        <v>147</v>
      </c>
    </row>
    <row r="2" spans="1:6" ht="18" customHeight="1">
      <c r="A2" s="8" t="s">
        <v>3</v>
      </c>
      <c r="B2" s="30" t="s">
        <v>27</v>
      </c>
      <c r="C2" s="33"/>
      <c r="D2" s="33"/>
      <c r="E2" s="33"/>
      <c r="F2" s="33"/>
    </row>
    <row r="3" spans="1:6" ht="15" customHeight="1">
      <c r="A3" s="8" t="s">
        <v>4</v>
      </c>
      <c r="B3" s="29" t="str">
        <f>IFERROR(INDEX(Historias[Título],MATCH($B$2,Historias[Ref],0))&amp;"","")</f>
        <v>CONFIGURAR MIS AVISOS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202</v>
      </c>
      <c r="C11" s="33"/>
      <c r="D11" s="33"/>
      <c r="E11" s="33"/>
      <c r="F11" s="33"/>
    </row>
    <row r="12" spans="1:6" ht="48" customHeight="1">
      <c r="A12" s="8" t="s">
        <v>153</v>
      </c>
      <c r="B12" s="27" t="s">
        <v>203</v>
      </c>
      <c r="C12" s="33"/>
      <c r="D12" s="33"/>
      <c r="E12" s="33"/>
      <c r="F12" s="33"/>
    </row>
    <row r="13" spans="1:6" ht="78" customHeight="1">
      <c r="A13" s="8" t="s">
        <v>155</v>
      </c>
      <c r="B13" s="27" t="s">
        <v>204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IF(Obj_CS08[[#This Row],[Descripción]]="","",ROW()-ROW(Obj_CS08[[#Headers],[Objetivo]]))</f>
        <v/>
      </c>
      <c r="B17" s="11"/>
      <c r="C17" s="5"/>
      <c r="D17" s="5"/>
      <c r="E17" s="12"/>
      <c r="F17" s="12"/>
    </row>
    <row r="18" spans="1:6">
      <c r="A18" s="21" t="s">
        <v>470</v>
      </c>
      <c r="B18" s="18"/>
      <c r="C18" s="22"/>
      <c r="D18" s="22"/>
      <c r="E18" s="23">
        <f>SUBTOTAL(109,Obj_CS08[Tiempo estimado])</f>
        <v>0</v>
      </c>
      <c r="F18" s="23">
        <f>SUBTOTAL(109,Obj_CS08[Tiempo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908" priority="1">
      <formula>$B4="En progreso"</formula>
    </cfRule>
    <cfRule type="expression" dxfId="907" priority="2">
      <formula>$B4="En espera"</formula>
    </cfRule>
    <cfRule type="expression" dxfId="906" priority="3">
      <formula>$B4="Finalizada"</formula>
    </cfRule>
    <cfRule type="expression" dxfId="905" priority="4">
      <formula>$B4="Sin página"</formula>
    </cfRule>
  </conditionalFormatting>
  <conditionalFormatting sqref="B5">
    <cfRule type="expression" dxfId="904" priority="5">
      <formula>$B5="I"</formula>
    </cfRule>
    <cfRule type="expression" dxfId="903" priority="6">
      <formula>$B5="N"</formula>
    </cfRule>
    <cfRule type="expression" dxfId="902" priority="7">
      <formula>$B5="M"</formula>
    </cfRule>
  </conditionalFormatting>
  <conditionalFormatting sqref="B6">
    <cfRule type="expression" dxfId="901" priority="8">
      <formula>$B6="Bajo"</formula>
    </cfRule>
    <cfRule type="expression" dxfId="900" priority="9">
      <formula>$B6="Medio bajo"</formula>
    </cfRule>
    <cfRule type="expression" dxfId="899" priority="10">
      <formula>$B6="Medio"</formula>
    </cfRule>
    <cfRule type="expression" dxfId="898" priority="11">
      <formula>$B6="Alto"</formula>
    </cfRule>
    <cfRule type="expression" dxfId="897" priority="12">
      <formula>$B6="Muy alto"</formula>
    </cfRule>
  </conditionalFormatting>
  <conditionalFormatting sqref="C17:C316">
    <cfRule type="expression" dxfId="896" priority="13">
      <formula>$C17="Sí"</formula>
    </cfRule>
    <cfRule type="expression" dxfId="895" priority="14">
      <formula>$C17="No"</formula>
    </cfRule>
  </conditionalFormatting>
  <dataValidations count="3">
    <dataValidation type="list" allowBlank="1" showErrorMessage="1" errorTitle="Finalizado" error="Elige Sí o No." sqref="C17:C316" xr:uid="{00000000-0002-0000-0800-000000000000}">
      <formula1>"Sí,No"</formula1>
    </dataValidation>
    <dataValidation type="list" errorStyle="warning" allowBlank="1" showErrorMessage="1" errorTitle="Responsable" error="Ese nombre no está en la lista. ¿Lo dejas igualmente?" sqref="D17:D316" xr:uid="{00000000-0002-0000-0800-000001000000}">
      <formula1>"Joaquin,Matthew,Jorge,Flavia,Lucia,José"</formula1>
    </dataValidation>
    <dataValidation type="decimal" operator="greaterThanOrEqual" allowBlank="1" showErrorMessage="1" errorTitle="Tiempo" error="Escribe solo el número de minutos, por ejemplo 30." sqref="E17:F316" xr:uid="{00000000-0002-0000-0800-000002000000}">
      <formula1>0</formula1>
    </dataValidation>
  </dataValidations>
  <hyperlinks>
    <hyperlink ref="F1" location="'Índice'!A1" tooltip="Volver al índice" xr:uid="{00000000-0004-0000-0800-000000000000}"/>
  </hyperlinks>
  <pageMargins left="0.75" right="0.75" top="1" bottom="1" header="0.5" footer="0.5"/>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CS-09 · NOVEDADES DE AMIGOS</v>
      </c>
      <c r="B1" s="32"/>
      <c r="C1" s="32"/>
      <c r="D1" s="32"/>
      <c r="E1" s="32"/>
      <c r="F1" s="7" t="s">
        <v>147</v>
      </c>
    </row>
    <row r="2" spans="1:6" ht="18" customHeight="1">
      <c r="A2" s="8" t="s">
        <v>3</v>
      </c>
      <c r="B2" s="30" t="s">
        <v>29</v>
      </c>
      <c r="C2" s="33"/>
      <c r="D2" s="33"/>
      <c r="E2" s="33"/>
      <c r="F2" s="33"/>
    </row>
    <row r="3" spans="1:6" ht="15" customHeight="1">
      <c r="A3" s="8" t="s">
        <v>4</v>
      </c>
      <c r="B3" s="29" t="str">
        <f>IFERROR(INDEX(Historias[Título],MATCH($B$2,Historias[Ref],0))&amp;"","")</f>
        <v>NOVEDADES DE AMIGOS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205</v>
      </c>
      <c r="C11" s="33"/>
      <c r="D11" s="33"/>
      <c r="E11" s="33"/>
      <c r="F11" s="33"/>
    </row>
    <row r="12" spans="1:6" ht="63" customHeight="1">
      <c r="A12" s="8" t="s">
        <v>153</v>
      </c>
      <c r="B12" s="27" t="s">
        <v>206</v>
      </c>
      <c r="C12" s="33"/>
      <c r="D12" s="33"/>
      <c r="E12" s="33"/>
      <c r="F12" s="33"/>
    </row>
    <row r="13" spans="1:6" ht="78" customHeight="1">
      <c r="A13" s="8" t="s">
        <v>155</v>
      </c>
      <c r="B13" s="27" t="s">
        <v>207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IF(Obj_CS09[[#This Row],[Descripción]]="","",ROW()-ROW(Obj_CS09[[#Headers],[Objetivo]]))</f>
        <v/>
      </c>
      <c r="B17" s="11"/>
      <c r="C17" s="5"/>
      <c r="D17" s="5"/>
      <c r="E17" s="12"/>
      <c r="F17" s="12"/>
    </row>
    <row r="18" spans="1:6">
      <c r="A18" s="21" t="s">
        <v>470</v>
      </c>
      <c r="B18" s="18"/>
      <c r="C18" s="22"/>
      <c r="D18" s="22"/>
      <c r="E18" s="23">
        <f>SUBTOTAL(109,Obj_CS09[Tiempo estimado])</f>
        <v>0</v>
      </c>
      <c r="F18" s="23">
        <f>SUBTOTAL(109,Obj_CS09[Tiempo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94" priority="1">
      <formula>$B4="En progreso"</formula>
    </cfRule>
    <cfRule type="expression" dxfId="893" priority="2">
      <formula>$B4="En espera"</formula>
    </cfRule>
    <cfRule type="expression" dxfId="892" priority="3">
      <formula>$B4="Finalizada"</formula>
    </cfRule>
    <cfRule type="expression" dxfId="891" priority="4">
      <formula>$B4="Sin página"</formula>
    </cfRule>
  </conditionalFormatting>
  <conditionalFormatting sqref="B5">
    <cfRule type="expression" dxfId="890" priority="5">
      <formula>$B5="I"</formula>
    </cfRule>
    <cfRule type="expression" dxfId="889" priority="6">
      <formula>$B5="N"</formula>
    </cfRule>
    <cfRule type="expression" dxfId="888" priority="7">
      <formula>$B5="M"</formula>
    </cfRule>
  </conditionalFormatting>
  <conditionalFormatting sqref="B6">
    <cfRule type="expression" dxfId="887" priority="8">
      <formula>$B6="Bajo"</formula>
    </cfRule>
    <cfRule type="expression" dxfId="886" priority="9">
      <formula>$B6="Medio bajo"</formula>
    </cfRule>
    <cfRule type="expression" dxfId="885" priority="10">
      <formula>$B6="Medio"</formula>
    </cfRule>
    <cfRule type="expression" dxfId="884" priority="11">
      <formula>$B6="Alto"</formula>
    </cfRule>
    <cfRule type="expression" dxfId="883" priority="12">
      <formula>$B6="Muy alto"</formula>
    </cfRule>
  </conditionalFormatting>
  <conditionalFormatting sqref="C17:C316">
    <cfRule type="expression" dxfId="882" priority="13">
      <formula>$C17="Sí"</formula>
    </cfRule>
    <cfRule type="expression" dxfId="881" priority="14">
      <formula>$C17="No"</formula>
    </cfRule>
  </conditionalFormatting>
  <dataValidations count="3">
    <dataValidation type="list" allowBlank="1" showErrorMessage="1" errorTitle="Finalizado" error="Elige Sí o No." sqref="C17:C316" xr:uid="{00000000-0002-0000-0900-000000000000}">
      <formula1>"Sí,No"</formula1>
    </dataValidation>
    <dataValidation type="list" errorStyle="warning" allowBlank="1" showErrorMessage="1" errorTitle="Responsable" error="Ese nombre no está en la lista. ¿Lo dejas igualmente?" sqref="D17:D316" xr:uid="{00000000-0002-0000-0900-000001000000}">
      <formula1>"Joaquin,Matthew,Jorge,Flavia,Lucia,José"</formula1>
    </dataValidation>
    <dataValidation type="decimal" operator="greaterThanOrEqual" allowBlank="1" showErrorMessage="1" errorTitle="Tiempo" error="Escribe solo el número de minutos, por ejemplo 30." sqref="E17:F316" xr:uid="{00000000-0002-0000-0900-000002000000}">
      <formula1>0</formula1>
    </dataValidation>
  </dataValidations>
  <hyperlinks>
    <hyperlink ref="F1" location="'Índice'!A1" tooltip="Volver al índice" xr:uid="{00000000-0004-0000-0900-000000000000}"/>
  </hyperlinks>
  <pageMargins left="0.75" right="0.75" top="1" bottom="1" header="0.5" footer="0.5"/>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CS-10 · BÚSQUEDA CON FILTROS COMBINABLES</v>
      </c>
      <c r="B1" s="32"/>
      <c r="C1" s="32"/>
      <c r="D1" s="32"/>
      <c r="E1" s="32"/>
      <c r="F1" s="7" t="s">
        <v>147</v>
      </c>
    </row>
    <row r="2" spans="1:6" ht="18" customHeight="1">
      <c r="A2" s="8" t="s">
        <v>3</v>
      </c>
      <c r="B2" s="30" t="s">
        <v>31</v>
      </c>
      <c r="C2" s="33"/>
      <c r="D2" s="33"/>
      <c r="E2" s="33"/>
      <c r="F2" s="33"/>
    </row>
    <row r="3" spans="1:6" ht="15" customHeight="1">
      <c r="A3" s="8" t="s">
        <v>4</v>
      </c>
      <c r="B3" s="29" t="str">
        <f>IFERROR(INDEX(Historias[Título],MATCH($B$2,Historias[Ref],0))&amp;"","")</f>
        <v>BÚSQUEDA CON FILTROS COMBINABLES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7</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208</v>
      </c>
      <c r="C11" s="33"/>
      <c r="D11" s="33"/>
      <c r="E11" s="33"/>
      <c r="F11" s="33"/>
    </row>
    <row r="12" spans="1:6" ht="48" customHeight="1">
      <c r="A12" s="8" t="s">
        <v>153</v>
      </c>
      <c r="B12" s="27" t="s">
        <v>209</v>
      </c>
      <c r="C12" s="33"/>
      <c r="D12" s="33"/>
      <c r="E12" s="33"/>
      <c r="F12" s="33"/>
    </row>
    <row r="13" spans="1:6" ht="78" customHeight="1">
      <c r="A13" s="8" t="s">
        <v>155</v>
      </c>
      <c r="B13" s="27" t="s">
        <v>210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IF(Obj_CS10[[#This Row],[Descripción]]="","",ROW()-ROW(Obj_CS10[[#Headers],[Objetivo]]))</f>
        <v/>
      </c>
      <c r="B17" s="11"/>
      <c r="C17" s="5"/>
      <c r="D17" s="5"/>
      <c r="E17" s="12"/>
      <c r="F17" s="12"/>
    </row>
    <row r="18" spans="1:6">
      <c r="A18" s="21" t="s">
        <v>470</v>
      </c>
      <c r="B18" s="18"/>
      <c r="C18" s="22"/>
      <c r="D18" s="22"/>
      <c r="E18" s="23">
        <f>SUBTOTAL(109,Obj_CS10[Tiempo estimado])</f>
        <v>0</v>
      </c>
      <c r="F18" s="23">
        <f>SUBTOTAL(109,Obj_CS10[Tiempo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80" priority="1">
      <formula>$B4="En progreso"</formula>
    </cfRule>
    <cfRule type="expression" dxfId="879" priority="2">
      <formula>$B4="En espera"</formula>
    </cfRule>
    <cfRule type="expression" dxfId="878" priority="3">
      <formula>$B4="Finalizada"</formula>
    </cfRule>
    <cfRule type="expression" dxfId="877" priority="4">
      <formula>$B4="Sin página"</formula>
    </cfRule>
  </conditionalFormatting>
  <conditionalFormatting sqref="B5">
    <cfRule type="expression" dxfId="876" priority="5">
      <formula>$B5="I"</formula>
    </cfRule>
    <cfRule type="expression" dxfId="875" priority="6">
      <formula>$B5="N"</formula>
    </cfRule>
    <cfRule type="expression" dxfId="874" priority="7">
      <formula>$B5="M"</formula>
    </cfRule>
  </conditionalFormatting>
  <conditionalFormatting sqref="B6">
    <cfRule type="expression" dxfId="873" priority="8">
      <formula>$B6="Bajo"</formula>
    </cfRule>
    <cfRule type="expression" dxfId="872" priority="9">
      <formula>$B6="Medio bajo"</formula>
    </cfRule>
    <cfRule type="expression" dxfId="871" priority="10">
      <formula>$B6="Medio"</formula>
    </cfRule>
    <cfRule type="expression" dxfId="870" priority="11">
      <formula>$B6="Alto"</formula>
    </cfRule>
    <cfRule type="expression" dxfId="869" priority="12">
      <formula>$B6="Muy alto"</formula>
    </cfRule>
  </conditionalFormatting>
  <conditionalFormatting sqref="C17:C316">
    <cfRule type="expression" dxfId="868" priority="13">
      <formula>$C17="Sí"</formula>
    </cfRule>
    <cfRule type="expression" dxfId="867" priority="14">
      <formula>$C17="No"</formula>
    </cfRule>
  </conditionalFormatting>
  <dataValidations count="3">
    <dataValidation type="list" allowBlank="1" showErrorMessage="1" errorTitle="Finalizado" error="Elige Sí o No." sqref="C17:C316" xr:uid="{00000000-0002-0000-0A00-000000000000}">
      <formula1>"Sí,No"</formula1>
    </dataValidation>
    <dataValidation type="list" errorStyle="warning" allowBlank="1" showErrorMessage="1" errorTitle="Responsable" error="Ese nombre no está en la lista. ¿Lo dejas igualmente?" sqref="D17:D316" xr:uid="{00000000-0002-0000-0A00-000001000000}">
      <formula1>"Joaquin,Matthew,Jorge,Flavia,Lucia,José"</formula1>
    </dataValidation>
    <dataValidation type="decimal" operator="greaterThanOrEqual" allowBlank="1" showErrorMessage="1" errorTitle="Tiempo" error="Escribe solo el número de minutos, por ejemplo 30." sqref="E17:F316" xr:uid="{00000000-0002-0000-0A00-000002000000}">
      <formula1>0</formula1>
    </dataValidation>
  </dataValidations>
  <hyperlinks>
    <hyperlink ref="F1" location="'Índice'!A1" tooltip="Volver al índice" xr:uid="{00000000-0004-0000-0A00-000000000000}"/>
  </hyperlinks>
  <pageMargins left="0.75" right="0.75" top="1" bottom="1" header="0.5" footer="0.5"/>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CS-11 · ORDENACIÓN Y PAGINACIÓN ESTABLE</v>
      </c>
      <c r="B1" s="32"/>
      <c r="C1" s="32"/>
      <c r="D1" s="32"/>
      <c r="E1" s="32"/>
      <c r="F1" s="7" t="s">
        <v>147</v>
      </c>
    </row>
    <row r="2" spans="1:6" ht="18" customHeight="1">
      <c r="A2" s="8" t="s">
        <v>3</v>
      </c>
      <c r="B2" s="30" t="s">
        <v>34</v>
      </c>
      <c r="C2" s="33"/>
      <c r="D2" s="33"/>
      <c r="E2" s="33"/>
      <c r="F2" s="33"/>
    </row>
    <row r="3" spans="1:6" ht="15" customHeight="1">
      <c r="A3" s="8" t="s">
        <v>4</v>
      </c>
      <c r="B3" s="29" t="str">
        <f>IFERROR(INDEX(Historias[Título],MATCH($B$2,Historias[Ref],0))&amp;"","")</f>
        <v>ORDENACIÓN Y PAGINACIÓN ESTABLE</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211</v>
      </c>
      <c r="C11" s="33"/>
      <c r="D11" s="33"/>
      <c r="E11" s="33"/>
      <c r="F11" s="33"/>
    </row>
    <row r="12" spans="1:6" ht="48" customHeight="1">
      <c r="A12" s="8" t="s">
        <v>153</v>
      </c>
      <c r="B12" s="27" t="s">
        <v>212</v>
      </c>
      <c r="C12" s="33"/>
      <c r="D12" s="33"/>
      <c r="E12" s="33"/>
      <c r="F12" s="33"/>
    </row>
    <row r="13" spans="1:6" ht="93" customHeight="1">
      <c r="A13" s="8" t="s">
        <v>155</v>
      </c>
      <c r="B13" s="27" t="s">
        <v>213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IF(Obj_CS11[[#This Row],[Descripción]]="","",ROW()-ROW(Obj_CS11[[#Headers],[Objetivo]]))</f>
        <v/>
      </c>
      <c r="B17" s="11"/>
      <c r="C17" s="5"/>
      <c r="D17" s="5"/>
      <c r="E17" s="12"/>
      <c r="F17" s="12"/>
    </row>
    <row r="18" spans="1:6">
      <c r="A18" s="21" t="s">
        <v>470</v>
      </c>
      <c r="B18" s="18"/>
      <c r="C18" s="22"/>
      <c r="D18" s="22"/>
      <c r="E18" s="23">
        <f>SUBTOTAL(109,Obj_CS11[Tiempo estimado])</f>
        <v>0</v>
      </c>
      <c r="F18" s="23">
        <f>SUBTOTAL(109,Obj_CS11[Tiempo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66" priority="1">
      <formula>$B4="En progreso"</formula>
    </cfRule>
    <cfRule type="expression" dxfId="865" priority="2">
      <formula>$B4="En espera"</formula>
    </cfRule>
    <cfRule type="expression" dxfId="864" priority="3">
      <formula>$B4="Finalizada"</formula>
    </cfRule>
    <cfRule type="expression" dxfId="863" priority="4">
      <formula>$B4="Sin página"</formula>
    </cfRule>
  </conditionalFormatting>
  <conditionalFormatting sqref="B5">
    <cfRule type="expression" dxfId="862" priority="5">
      <formula>$B5="I"</formula>
    </cfRule>
    <cfRule type="expression" dxfId="861" priority="6">
      <formula>$B5="N"</formula>
    </cfRule>
    <cfRule type="expression" dxfId="860" priority="7">
      <formula>$B5="M"</formula>
    </cfRule>
  </conditionalFormatting>
  <conditionalFormatting sqref="B6">
    <cfRule type="expression" dxfId="859" priority="8">
      <formula>$B6="Bajo"</formula>
    </cfRule>
    <cfRule type="expression" dxfId="858" priority="9">
      <formula>$B6="Medio bajo"</formula>
    </cfRule>
    <cfRule type="expression" dxfId="857" priority="10">
      <formula>$B6="Medio"</formula>
    </cfRule>
    <cfRule type="expression" dxfId="856" priority="11">
      <formula>$B6="Alto"</formula>
    </cfRule>
    <cfRule type="expression" dxfId="855" priority="12">
      <formula>$B6="Muy alto"</formula>
    </cfRule>
  </conditionalFormatting>
  <conditionalFormatting sqref="C17:C316">
    <cfRule type="expression" dxfId="854" priority="13">
      <formula>$C17="Sí"</formula>
    </cfRule>
    <cfRule type="expression" dxfId="853" priority="14">
      <formula>$C17="No"</formula>
    </cfRule>
  </conditionalFormatting>
  <dataValidations count="3">
    <dataValidation type="list" allowBlank="1" showErrorMessage="1" errorTitle="Finalizado" error="Elige Sí o No." sqref="C17:C316" xr:uid="{00000000-0002-0000-0B00-000000000000}">
      <formula1>"Sí,No"</formula1>
    </dataValidation>
    <dataValidation type="list" errorStyle="warning" allowBlank="1" showErrorMessage="1" errorTitle="Responsable" error="Ese nombre no está en la lista. ¿Lo dejas igualmente?" sqref="D17:D316" xr:uid="{00000000-0002-0000-0B00-000001000000}">
      <formula1>"Joaquin,Matthew,Jorge,Flavia,Lucia,José"</formula1>
    </dataValidation>
    <dataValidation type="decimal" operator="greaterThanOrEqual" allowBlank="1" showErrorMessage="1" errorTitle="Tiempo" error="Escribe solo el número de minutos, por ejemplo 30." sqref="E17:F316" xr:uid="{00000000-0002-0000-0B00-000002000000}">
      <formula1>0</formula1>
    </dataValidation>
  </dataValidations>
  <hyperlinks>
    <hyperlink ref="F1" location="'Índice'!A1" tooltip="Volver al índice" xr:uid="{00000000-0004-0000-0B00-000000000000}"/>
  </hyperlinks>
  <pageMargins left="0.75" right="0.75" top="1" bottom="1" header="0.5" footer="0.5"/>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CS-12 · AGREGADOS DERIVADOS PARA BÚSQUEDA</v>
      </c>
      <c r="B1" s="32"/>
      <c r="C1" s="32"/>
      <c r="D1" s="32"/>
      <c r="E1" s="32"/>
      <c r="F1" s="7" t="s">
        <v>147</v>
      </c>
    </row>
    <row r="2" spans="1:6" ht="18" customHeight="1">
      <c r="A2" s="8" t="s">
        <v>3</v>
      </c>
      <c r="B2" s="30" t="s">
        <v>37</v>
      </c>
      <c r="C2" s="33"/>
      <c r="D2" s="33"/>
      <c r="E2" s="33"/>
      <c r="F2" s="33"/>
    </row>
    <row r="3" spans="1:6" ht="15" customHeight="1">
      <c r="A3" s="8" t="s">
        <v>4</v>
      </c>
      <c r="B3" s="29" t="str">
        <f>IFERROR(INDEX(Historias[Título],MATCH($B$2,Historias[Ref],0))&amp;"","")</f>
        <v>AGREGADOS DERIVADOS PARA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214</v>
      </c>
      <c r="C11" s="33"/>
      <c r="D11" s="33"/>
      <c r="E11" s="33"/>
      <c r="F11" s="33"/>
    </row>
    <row r="12" spans="1:6" ht="48" customHeight="1">
      <c r="A12" s="8" t="s">
        <v>153</v>
      </c>
      <c r="B12" s="27" t="s">
        <v>215</v>
      </c>
      <c r="C12" s="33"/>
      <c r="D12" s="33"/>
      <c r="E12" s="33"/>
      <c r="F12" s="33"/>
    </row>
    <row r="13" spans="1:6" ht="78" customHeight="1">
      <c r="A13" s="8" t="s">
        <v>155</v>
      </c>
      <c r="B13" s="27" t="s">
        <v>216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IF(Obj_CS12[[#This Row],[Descripción]]="","",ROW()-ROW(Obj_CS12[[#Headers],[Objetivo]]))</f>
        <v/>
      </c>
      <c r="B17" s="11"/>
      <c r="C17" s="5"/>
      <c r="D17" s="5"/>
      <c r="E17" s="12"/>
      <c r="F17" s="12"/>
    </row>
    <row r="18" spans="1:6">
      <c r="A18" s="21" t="s">
        <v>470</v>
      </c>
      <c r="B18" s="18"/>
      <c r="C18" s="22"/>
      <c r="D18" s="22"/>
      <c r="E18" s="23">
        <f>SUBTOTAL(109,Obj_CS12[Tiempo estimado])</f>
        <v>0</v>
      </c>
      <c r="F18" s="23">
        <f>SUBTOTAL(109,Obj_CS12[Tiempo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52" priority="1">
      <formula>$B4="En progreso"</formula>
    </cfRule>
    <cfRule type="expression" dxfId="851" priority="2">
      <formula>$B4="En espera"</formula>
    </cfRule>
    <cfRule type="expression" dxfId="850" priority="3">
      <formula>$B4="Finalizada"</formula>
    </cfRule>
    <cfRule type="expression" dxfId="849" priority="4">
      <formula>$B4="Sin página"</formula>
    </cfRule>
  </conditionalFormatting>
  <conditionalFormatting sqref="B5">
    <cfRule type="expression" dxfId="848" priority="5">
      <formula>$B5="I"</formula>
    </cfRule>
    <cfRule type="expression" dxfId="847" priority="6">
      <formula>$B5="N"</formula>
    </cfRule>
    <cfRule type="expression" dxfId="846" priority="7">
      <formula>$B5="M"</formula>
    </cfRule>
  </conditionalFormatting>
  <conditionalFormatting sqref="B6">
    <cfRule type="expression" dxfId="845" priority="8">
      <formula>$B6="Bajo"</formula>
    </cfRule>
    <cfRule type="expression" dxfId="844" priority="9">
      <formula>$B6="Medio bajo"</formula>
    </cfRule>
    <cfRule type="expression" dxfId="843" priority="10">
      <formula>$B6="Medio"</formula>
    </cfRule>
    <cfRule type="expression" dxfId="842" priority="11">
      <formula>$B6="Alto"</formula>
    </cfRule>
    <cfRule type="expression" dxfId="841" priority="12">
      <formula>$B6="Muy alto"</formula>
    </cfRule>
  </conditionalFormatting>
  <conditionalFormatting sqref="C17:C316">
    <cfRule type="expression" dxfId="840" priority="13">
      <formula>$C17="Sí"</formula>
    </cfRule>
    <cfRule type="expression" dxfId="839" priority="14">
      <formula>$C17="No"</formula>
    </cfRule>
  </conditionalFormatting>
  <dataValidations count="3">
    <dataValidation type="list" allowBlank="1" showErrorMessage="1" errorTitle="Finalizado" error="Elige Sí o No." sqref="C17:C316" xr:uid="{00000000-0002-0000-0C00-000000000000}">
      <formula1>"Sí,No"</formula1>
    </dataValidation>
    <dataValidation type="list" errorStyle="warning" allowBlank="1" showErrorMessage="1" errorTitle="Responsable" error="Ese nombre no está en la lista. ¿Lo dejas igualmente?" sqref="D17:D316" xr:uid="{00000000-0002-0000-0C00-000001000000}">
      <formula1>"Joaquin,Matthew,Jorge,Flavia,Lucia,José"</formula1>
    </dataValidation>
    <dataValidation type="decimal" operator="greaterThanOrEqual" allowBlank="1" showErrorMessage="1" errorTitle="Tiempo" error="Escribe solo el número de minutos, por ejemplo 30." sqref="E17:F316" xr:uid="{00000000-0002-0000-0C00-000002000000}">
      <formula1>0</formula1>
    </dataValidation>
  </dataValidations>
  <hyperlinks>
    <hyperlink ref="F1" location="'Índice'!A1" tooltip="Volver al índice" xr:uid="{00000000-0004-0000-0C00-000000000000}"/>
  </hyperlinks>
  <pageMargins left="0.75" right="0.75" top="1" bottom="1" header="0.5" footer="0.5"/>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CS-13 · DETECCIÓN DE VALORACIONES SOSPECHOSAS</v>
      </c>
      <c r="B1" s="32"/>
      <c r="C1" s="32"/>
      <c r="D1" s="32"/>
      <c r="E1" s="32"/>
      <c r="F1" s="7" t="s">
        <v>147</v>
      </c>
    </row>
    <row r="2" spans="1:6" ht="18" customHeight="1">
      <c r="A2" s="8" t="s">
        <v>3</v>
      </c>
      <c r="B2" s="30" t="s">
        <v>40</v>
      </c>
      <c r="C2" s="33"/>
      <c r="D2" s="33"/>
      <c r="E2" s="33"/>
      <c r="F2" s="33"/>
    </row>
    <row r="3" spans="1:6" ht="15" customHeight="1">
      <c r="A3" s="8" t="s">
        <v>4</v>
      </c>
      <c r="B3" s="29" t="str">
        <f>IFERROR(INDEX(Historias[Título],MATCH($B$2,Historias[Ref],0))&amp;"","")</f>
        <v>DETECCIÓN DE VALORACIONES SOSPECHOSAS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217</v>
      </c>
      <c r="C11" s="33"/>
      <c r="D11" s="33"/>
      <c r="E11" s="33"/>
      <c r="F11" s="33"/>
    </row>
    <row r="12" spans="1:6" ht="48" customHeight="1">
      <c r="A12" s="8" t="s">
        <v>153</v>
      </c>
      <c r="B12" s="27" t="s">
        <v>218</v>
      </c>
      <c r="C12" s="33"/>
      <c r="D12" s="33"/>
      <c r="E12" s="33"/>
      <c r="F12" s="33"/>
    </row>
    <row r="13" spans="1:6" ht="93" customHeight="1">
      <c r="A13" s="8" t="s">
        <v>155</v>
      </c>
      <c r="B13" s="27" t="s">
        <v>219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IF(Obj_CS13[[#This Row],[Descripción]]="","",ROW()-ROW(Obj_CS13[[#Headers],[Objetivo]]))</f>
        <v/>
      </c>
      <c r="B17" s="11"/>
      <c r="C17" s="5"/>
      <c r="D17" s="5"/>
      <c r="E17" s="12"/>
      <c r="F17" s="12"/>
    </row>
    <row r="18" spans="1:6">
      <c r="A18" s="21" t="s">
        <v>470</v>
      </c>
      <c r="B18" s="18"/>
      <c r="C18" s="22"/>
      <c r="D18" s="22"/>
      <c r="E18" s="23">
        <f>SUBTOTAL(109,Obj_CS13[Tiempo estimado])</f>
        <v>0</v>
      </c>
      <c r="F18" s="23">
        <f>SUBTOTAL(109,Obj_CS13[Tiempo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38" priority="1">
      <formula>$B4="En progreso"</formula>
    </cfRule>
    <cfRule type="expression" dxfId="837" priority="2">
      <formula>$B4="En espera"</formula>
    </cfRule>
    <cfRule type="expression" dxfId="836" priority="3">
      <formula>$B4="Finalizada"</formula>
    </cfRule>
    <cfRule type="expression" dxfId="835" priority="4">
      <formula>$B4="Sin página"</formula>
    </cfRule>
  </conditionalFormatting>
  <conditionalFormatting sqref="B5">
    <cfRule type="expression" dxfId="834" priority="5">
      <formula>$B5="I"</formula>
    </cfRule>
    <cfRule type="expression" dxfId="833" priority="6">
      <formula>$B5="N"</formula>
    </cfRule>
    <cfRule type="expression" dxfId="832" priority="7">
      <formula>$B5="M"</formula>
    </cfRule>
  </conditionalFormatting>
  <conditionalFormatting sqref="B6">
    <cfRule type="expression" dxfId="831" priority="8">
      <formula>$B6="Bajo"</formula>
    </cfRule>
    <cfRule type="expression" dxfId="830" priority="9">
      <formula>$B6="Medio bajo"</formula>
    </cfRule>
    <cfRule type="expression" dxfId="829" priority="10">
      <formula>$B6="Medio"</formula>
    </cfRule>
    <cfRule type="expression" dxfId="828" priority="11">
      <formula>$B6="Alto"</formula>
    </cfRule>
    <cfRule type="expression" dxfId="827" priority="12">
      <formula>$B6="Muy alto"</formula>
    </cfRule>
  </conditionalFormatting>
  <conditionalFormatting sqref="C17:C316">
    <cfRule type="expression" dxfId="826" priority="13">
      <formula>$C17="Sí"</formula>
    </cfRule>
    <cfRule type="expression" dxfId="825" priority="14">
      <formula>$C17="No"</formula>
    </cfRule>
  </conditionalFormatting>
  <dataValidations count="3">
    <dataValidation type="list" allowBlank="1" showErrorMessage="1" errorTitle="Finalizado" error="Elige Sí o No." sqref="C17:C316" xr:uid="{00000000-0002-0000-0D00-000000000000}">
      <formula1>"Sí,No"</formula1>
    </dataValidation>
    <dataValidation type="list" errorStyle="warning" allowBlank="1" showErrorMessage="1" errorTitle="Responsable" error="Ese nombre no está en la lista. ¿Lo dejas igualmente?" sqref="D17:D316" xr:uid="{00000000-0002-0000-0D00-000001000000}">
      <formula1>"Joaquin,Matthew,Jorge,Flavia,Lucia,José"</formula1>
    </dataValidation>
    <dataValidation type="decimal" operator="greaterThanOrEqual" allowBlank="1" showErrorMessage="1" errorTitle="Tiempo" error="Escribe solo el número de minutos, por ejemplo 30." sqref="E17:F316" xr:uid="{00000000-0002-0000-0D00-000002000000}">
      <formula1>0</formula1>
    </dataValidation>
  </dataValidations>
  <hyperlinks>
    <hyperlink ref="F1" location="'Índice'!A1" tooltip="Volver al índice" xr:uid="{00000000-0004-0000-0D00-000000000000}"/>
  </hyperlinks>
  <pageMargins left="0.75" right="0.75" top="1" bottom="1" header="0.5" footer="0.5"/>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CS-14 · RESUMEN DE VALORACIONES DE UNA EXPERIENCIA</v>
      </c>
      <c r="B1" s="32"/>
      <c r="C1" s="32"/>
      <c r="D1" s="32"/>
      <c r="E1" s="32"/>
      <c r="F1" s="7" t="s">
        <v>147</v>
      </c>
    </row>
    <row r="2" spans="1:6" ht="18" customHeight="1">
      <c r="A2" s="8" t="s">
        <v>3</v>
      </c>
      <c r="B2" s="30" t="s">
        <v>42</v>
      </c>
      <c r="C2" s="33"/>
      <c r="D2" s="33"/>
      <c r="E2" s="33"/>
      <c r="F2" s="33"/>
    </row>
    <row r="3" spans="1:6" ht="15" customHeight="1">
      <c r="A3" s="8" t="s">
        <v>4</v>
      </c>
      <c r="B3" s="29" t="str">
        <f>IFERROR(INDEX(Historias[Título],MATCH($B$2,Historias[Ref],0))&amp;"","")</f>
        <v>RESUMEN DE VALORACIONES DE UNA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Muy alto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220</v>
      </c>
      <c r="C11" s="33"/>
      <c r="D11" s="33"/>
      <c r="E11" s="33"/>
      <c r="F11" s="33"/>
    </row>
    <row r="12" spans="1:6" ht="63" customHeight="1">
      <c r="A12" s="8" t="s">
        <v>153</v>
      </c>
      <c r="B12" s="27" t="s">
        <v>221</v>
      </c>
      <c r="C12" s="33"/>
      <c r="D12" s="33"/>
      <c r="E12" s="33"/>
      <c r="F12" s="33"/>
    </row>
    <row r="13" spans="1:6" ht="78" customHeight="1">
      <c r="A13" s="8" t="s">
        <v>155</v>
      </c>
      <c r="B13" s="27" t="s">
        <v>222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IF(Obj_CS14[[#This Row],[Descripción]]="","",ROW()-ROW(Obj_CS14[[#Headers],[Objetivo]]))</f>
        <v/>
      </c>
      <c r="B17" s="11"/>
      <c r="C17" s="5"/>
      <c r="D17" s="5"/>
      <c r="E17" s="12"/>
      <c r="F17" s="12"/>
    </row>
    <row r="18" spans="1:6">
      <c r="A18" s="21" t="s">
        <v>470</v>
      </c>
      <c r="B18" s="18"/>
      <c r="C18" s="22"/>
      <c r="D18" s="22"/>
      <c r="E18" s="23">
        <f>SUBTOTAL(109,Obj_CS14[Tiempo estimado])</f>
        <v>0</v>
      </c>
      <c r="F18" s="23">
        <f>SUBTOTAL(109,Obj_CS14[Tiempo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24" priority="1">
      <formula>$B4="En progreso"</formula>
    </cfRule>
    <cfRule type="expression" dxfId="823" priority="2">
      <formula>$B4="En espera"</formula>
    </cfRule>
    <cfRule type="expression" dxfId="822" priority="3">
      <formula>$B4="Finalizada"</formula>
    </cfRule>
    <cfRule type="expression" dxfId="821" priority="4">
      <formula>$B4="Sin página"</formula>
    </cfRule>
  </conditionalFormatting>
  <conditionalFormatting sqref="B5">
    <cfRule type="expression" dxfId="820" priority="5">
      <formula>$B5="I"</formula>
    </cfRule>
    <cfRule type="expression" dxfId="819" priority="6">
      <formula>$B5="N"</formula>
    </cfRule>
    <cfRule type="expression" dxfId="818" priority="7">
      <formula>$B5="M"</formula>
    </cfRule>
  </conditionalFormatting>
  <conditionalFormatting sqref="B6">
    <cfRule type="expression" dxfId="817" priority="8">
      <formula>$B6="Bajo"</formula>
    </cfRule>
    <cfRule type="expression" dxfId="816" priority="9">
      <formula>$B6="Medio bajo"</formula>
    </cfRule>
    <cfRule type="expression" dxfId="815" priority="10">
      <formula>$B6="Medio"</formula>
    </cfRule>
    <cfRule type="expression" dxfId="814" priority="11">
      <formula>$B6="Alto"</formula>
    </cfRule>
    <cfRule type="expression" dxfId="813" priority="12">
      <formula>$B6="Muy alto"</formula>
    </cfRule>
  </conditionalFormatting>
  <conditionalFormatting sqref="C17:C316">
    <cfRule type="expression" dxfId="812" priority="13">
      <formula>$C17="Sí"</formula>
    </cfRule>
    <cfRule type="expression" dxfId="811" priority="14">
      <formula>$C17="No"</formula>
    </cfRule>
  </conditionalFormatting>
  <dataValidations count="3">
    <dataValidation type="list" allowBlank="1" showErrorMessage="1" errorTitle="Finalizado" error="Elige Sí o No." sqref="C17:C316" xr:uid="{00000000-0002-0000-0E00-000000000000}">
      <formula1>"Sí,No"</formula1>
    </dataValidation>
    <dataValidation type="list" errorStyle="warning" allowBlank="1" showErrorMessage="1" errorTitle="Responsable" error="Ese nombre no está en la lista. ¿Lo dejas igualmente?" sqref="D17:D316" xr:uid="{00000000-0002-0000-0E00-000001000000}">
      <formula1>"Joaquin,Matthew,Jorge,Flavia,Lucia,José"</formula1>
    </dataValidation>
    <dataValidation type="decimal" operator="greaterThanOrEqual" allowBlank="1" showErrorMessage="1" errorTitle="Tiempo" error="Escribe solo el número de minutos, por ejemplo 30." sqref="E17:F316" xr:uid="{00000000-0002-0000-0E00-000002000000}">
      <formula1>0</formula1>
    </dataValidation>
  </dataValidations>
  <hyperlinks>
    <hyperlink ref="F1" location="'Índice'!A1" tooltip="Volver al índice" xr:uid="{00000000-0004-0000-0E00-000000000000}"/>
  </hyperlinks>
  <pageMargins left="0.75" right="0.75" top="1" bottom="1" header="0.5" footer="0.5"/>
  <pageSetup fitToHeight="0" orientation="landscape"/>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CS-15 · CICLO DE VIDA DEL AVISO DE DATO OBSOLETO</v>
      </c>
      <c r="B1" s="32"/>
      <c r="C1" s="32"/>
      <c r="D1" s="32"/>
      <c r="E1" s="32"/>
      <c r="F1" s="7" t="s">
        <v>147</v>
      </c>
    </row>
    <row r="2" spans="1:6" ht="18" customHeight="1">
      <c r="A2" s="8" t="s">
        <v>3</v>
      </c>
      <c r="B2" s="30" t="s">
        <v>45</v>
      </c>
      <c r="C2" s="33"/>
      <c r="D2" s="33"/>
      <c r="E2" s="33"/>
      <c r="F2" s="33"/>
    </row>
    <row r="3" spans="1:6" ht="15" customHeight="1">
      <c r="A3" s="8" t="s">
        <v>4</v>
      </c>
      <c r="B3" s="29" t="str">
        <f>IFERROR(INDEX(Historias[Título],MATCH($B$2,Historias[Ref],0))&amp;"","")</f>
        <v>CICLO DE VIDA DEL AVISO DE DATO OBSOLETO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223</v>
      </c>
      <c r="C11" s="33"/>
      <c r="D11" s="33"/>
      <c r="E11" s="33"/>
      <c r="F11" s="33"/>
    </row>
    <row r="12" spans="1:6" ht="48" customHeight="1">
      <c r="A12" s="8" t="s">
        <v>153</v>
      </c>
      <c r="B12" s="27" t="s">
        <v>224</v>
      </c>
      <c r="C12" s="33"/>
      <c r="D12" s="33"/>
      <c r="E12" s="33"/>
      <c r="F12" s="33"/>
    </row>
    <row r="13" spans="1:6" ht="93" customHeight="1">
      <c r="A13" s="8" t="s">
        <v>155</v>
      </c>
      <c r="B13" s="27" t="s">
        <v>225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IF(Obj_CS15[[#This Row],[Descripción]]="","",ROW()-ROW(Obj_CS15[[#Headers],[Objetivo]]))</f>
        <v/>
      </c>
      <c r="B17" s="11"/>
      <c r="C17" s="5"/>
      <c r="D17" s="5"/>
      <c r="E17" s="12"/>
      <c r="F17" s="12"/>
    </row>
    <row r="18" spans="1:6">
      <c r="A18" s="21" t="s">
        <v>470</v>
      </c>
      <c r="B18" s="18"/>
      <c r="C18" s="22"/>
      <c r="D18" s="22"/>
      <c r="E18" s="23">
        <f>SUBTOTAL(109,Obj_CS15[Tiempo estimado])</f>
        <v>0</v>
      </c>
      <c r="F18" s="23">
        <f>SUBTOTAL(109,Obj_CS15[Tiempo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10" priority="1">
      <formula>$B4="En progreso"</formula>
    </cfRule>
    <cfRule type="expression" dxfId="809" priority="2">
      <formula>$B4="En espera"</formula>
    </cfRule>
    <cfRule type="expression" dxfId="808" priority="3">
      <formula>$B4="Finalizada"</formula>
    </cfRule>
    <cfRule type="expression" dxfId="807" priority="4">
      <formula>$B4="Sin página"</formula>
    </cfRule>
  </conditionalFormatting>
  <conditionalFormatting sqref="B5">
    <cfRule type="expression" dxfId="806" priority="5">
      <formula>$B5="I"</formula>
    </cfRule>
    <cfRule type="expression" dxfId="805" priority="6">
      <formula>$B5="N"</formula>
    </cfRule>
    <cfRule type="expression" dxfId="804" priority="7">
      <formula>$B5="M"</formula>
    </cfRule>
  </conditionalFormatting>
  <conditionalFormatting sqref="B6">
    <cfRule type="expression" dxfId="803" priority="8">
      <formula>$B6="Bajo"</formula>
    </cfRule>
    <cfRule type="expression" dxfId="802" priority="9">
      <formula>$B6="Medio bajo"</formula>
    </cfRule>
    <cfRule type="expression" dxfId="801" priority="10">
      <formula>$B6="Medio"</formula>
    </cfRule>
    <cfRule type="expression" dxfId="800" priority="11">
      <formula>$B6="Alto"</formula>
    </cfRule>
    <cfRule type="expression" dxfId="799" priority="12">
      <formula>$B6="Muy alto"</formula>
    </cfRule>
  </conditionalFormatting>
  <conditionalFormatting sqref="C17:C316">
    <cfRule type="expression" dxfId="798" priority="13">
      <formula>$C17="Sí"</formula>
    </cfRule>
    <cfRule type="expression" dxfId="797" priority="14">
      <formula>$C17="No"</formula>
    </cfRule>
  </conditionalFormatting>
  <dataValidations count="3">
    <dataValidation type="list" allowBlank="1" showErrorMessage="1" errorTitle="Finalizado" error="Elige Sí o No." sqref="C17:C316" xr:uid="{00000000-0002-0000-0F00-000000000000}">
      <formula1>"Sí,No"</formula1>
    </dataValidation>
    <dataValidation type="list" errorStyle="warning" allowBlank="1" showErrorMessage="1" errorTitle="Responsable" error="Ese nombre no está en la lista. ¿Lo dejas igualmente?" sqref="D17:D316" xr:uid="{00000000-0002-0000-0F00-000001000000}">
      <formula1>"Joaquin,Matthew,Jorge,Flavia,Lucia,José"</formula1>
    </dataValidation>
    <dataValidation type="decimal" operator="greaterThanOrEqual" allowBlank="1" showErrorMessage="1" errorTitle="Tiempo" error="Escribe solo el número de minutos, por ejemplo 30." sqref="E17:F316" xr:uid="{00000000-0002-0000-0F00-000002000000}">
      <formula1>0</formula1>
    </dataValidation>
  </dataValidations>
  <hyperlinks>
    <hyperlink ref="F1" location="'Índice'!A1" tooltip="Volver al índice" xr:uid="{00000000-0004-0000-0F00-000000000000}"/>
  </hyperlinks>
  <pageMargins left="0.75" right="0.75" top="1" bottom="1" header="0.5" footer="0.5"/>
  <pageSetup fitToHeight="0" orientation="landscape"/>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CS-16 · OCULTACIÓN PREVENTIVA POR UMBRAL DE REPORTES</v>
      </c>
      <c r="B1" s="32"/>
      <c r="C1" s="32"/>
      <c r="D1" s="32"/>
      <c r="E1" s="32"/>
      <c r="F1" s="7" t="s">
        <v>147</v>
      </c>
    </row>
    <row r="2" spans="1:6" ht="18" customHeight="1">
      <c r="A2" s="8" t="s">
        <v>3</v>
      </c>
      <c r="B2" s="30" t="s">
        <v>47</v>
      </c>
      <c r="C2" s="33"/>
      <c r="D2" s="33"/>
      <c r="E2" s="33"/>
      <c r="F2" s="33"/>
    </row>
    <row r="3" spans="1:6" ht="15" customHeight="1">
      <c r="A3" s="8" t="s">
        <v>4</v>
      </c>
      <c r="B3" s="29" t="str">
        <f>IFERROR(INDEX(Historias[Título],MATCH($B$2,Historias[Ref],0))&amp;"","")</f>
        <v>OCULTACIÓN PREVENTIVA POR UMBRAL DE REPORTES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226</v>
      </c>
      <c r="C11" s="33"/>
      <c r="D11" s="33"/>
      <c r="E11" s="33"/>
      <c r="F11" s="33"/>
    </row>
    <row r="12" spans="1:6" ht="48" customHeight="1">
      <c r="A12" s="8" t="s">
        <v>153</v>
      </c>
      <c r="B12" s="27" t="s">
        <v>227</v>
      </c>
      <c r="C12" s="33"/>
      <c r="D12" s="33"/>
      <c r="E12" s="33"/>
      <c r="F12" s="33"/>
    </row>
    <row r="13" spans="1:6" ht="78" customHeight="1">
      <c r="A13" s="8" t="s">
        <v>155</v>
      </c>
      <c r="B13" s="27" t="s">
        <v>228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IF(Obj_CS16[[#This Row],[Descripción]]="","",ROW()-ROW(Obj_CS16[[#Headers],[Objetivo]]))</f>
        <v/>
      </c>
      <c r="B17" s="11"/>
      <c r="C17" s="5"/>
      <c r="D17" s="5"/>
      <c r="E17" s="12"/>
      <c r="F17" s="12"/>
    </row>
    <row r="18" spans="1:6">
      <c r="A18" s="21" t="s">
        <v>470</v>
      </c>
      <c r="B18" s="18"/>
      <c r="C18" s="22"/>
      <c r="D18" s="22"/>
      <c r="E18" s="23">
        <f>SUBTOTAL(109,Obj_CS16[Tiempo estimado])</f>
        <v>0</v>
      </c>
      <c r="F18" s="23">
        <f>SUBTOTAL(109,Obj_CS16[Tiempo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96" priority="1">
      <formula>$B4="En progreso"</formula>
    </cfRule>
    <cfRule type="expression" dxfId="795" priority="2">
      <formula>$B4="En espera"</formula>
    </cfRule>
    <cfRule type="expression" dxfId="794" priority="3">
      <formula>$B4="Finalizada"</formula>
    </cfRule>
    <cfRule type="expression" dxfId="793" priority="4">
      <formula>$B4="Sin página"</formula>
    </cfRule>
  </conditionalFormatting>
  <conditionalFormatting sqref="B5">
    <cfRule type="expression" dxfId="792" priority="5">
      <formula>$B5="I"</formula>
    </cfRule>
    <cfRule type="expression" dxfId="791" priority="6">
      <formula>$B5="N"</formula>
    </cfRule>
    <cfRule type="expression" dxfId="790" priority="7">
      <formula>$B5="M"</formula>
    </cfRule>
  </conditionalFormatting>
  <conditionalFormatting sqref="B6">
    <cfRule type="expression" dxfId="789" priority="8">
      <formula>$B6="Bajo"</formula>
    </cfRule>
    <cfRule type="expression" dxfId="788" priority="9">
      <formula>$B6="Medio bajo"</formula>
    </cfRule>
    <cfRule type="expression" dxfId="787" priority="10">
      <formula>$B6="Medio"</formula>
    </cfRule>
    <cfRule type="expression" dxfId="786" priority="11">
      <formula>$B6="Alto"</formula>
    </cfRule>
    <cfRule type="expression" dxfId="785" priority="12">
      <formula>$B6="Muy alto"</formula>
    </cfRule>
  </conditionalFormatting>
  <conditionalFormatting sqref="C17:C316">
    <cfRule type="expression" dxfId="784" priority="13">
      <formula>$C17="Sí"</formula>
    </cfRule>
    <cfRule type="expression" dxfId="783" priority="14">
      <formula>$C17="No"</formula>
    </cfRule>
  </conditionalFormatting>
  <dataValidations count="3">
    <dataValidation type="list" allowBlank="1" showErrorMessage="1" errorTitle="Finalizado" error="Elige Sí o No." sqref="C17:C316" xr:uid="{00000000-0002-0000-1000-000000000000}">
      <formula1>"Sí,No"</formula1>
    </dataValidation>
    <dataValidation type="list" errorStyle="warning" allowBlank="1" showErrorMessage="1" errorTitle="Responsable" error="Ese nombre no está en la lista. ¿Lo dejas igualmente?" sqref="D17:D316" xr:uid="{00000000-0002-0000-1000-000001000000}">
      <formula1>"Joaquin,Matthew,Jorge,Flavia,Lucia,José"</formula1>
    </dataValidation>
    <dataValidation type="decimal" operator="greaterThanOrEqual" allowBlank="1" showErrorMessage="1" errorTitle="Tiempo" error="Escribe solo el número de minutos, por ejemplo 30." sqref="E17:F316" xr:uid="{00000000-0002-0000-1000-000002000000}">
      <formula1>0</formula1>
    </dataValidation>
  </dataValidations>
  <hyperlinks>
    <hyperlink ref="F1" location="'Índice'!A1" tooltip="Volver al índice" xr:uid="{00000000-0004-0000-1000-000000000000}"/>
  </hyperlinks>
  <pageMargins left="0.75" right="0.75" top="1" bottom="1" header="0.5" footer="0.5"/>
  <pageSetup fitToHeight="0"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CS-17 · DETECCIÓN AUTOMÁTICA DE PUBLICIDAD ENCUBIERTA</v>
      </c>
      <c r="B1" s="32"/>
      <c r="C1" s="32"/>
      <c r="D1" s="32"/>
      <c r="E1" s="32"/>
      <c r="F1" s="7" t="s">
        <v>147</v>
      </c>
    </row>
    <row r="2" spans="1:6" ht="18" customHeight="1">
      <c r="A2" s="8" t="s">
        <v>3</v>
      </c>
      <c r="B2" s="30" t="s">
        <v>49</v>
      </c>
      <c r="C2" s="33"/>
      <c r="D2" s="33"/>
      <c r="E2" s="33"/>
      <c r="F2" s="33"/>
    </row>
    <row r="3" spans="1:6" ht="15" customHeight="1">
      <c r="A3" s="8" t="s">
        <v>4</v>
      </c>
      <c r="B3" s="29" t="str">
        <f>IFERROR(INDEX(Historias[Título],MATCH($B$2,Historias[Ref],0))&amp;"","")</f>
        <v>DETECCIÓN AUTOMÁTICA DE PUBLICIDAD ENCUBIERTA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40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229</v>
      </c>
      <c r="C11" s="33"/>
      <c r="D11" s="33"/>
      <c r="E11" s="33"/>
      <c r="F11" s="33"/>
    </row>
    <row r="12" spans="1:6" ht="63" customHeight="1">
      <c r="A12" s="8" t="s">
        <v>153</v>
      </c>
      <c r="B12" s="27" t="s">
        <v>230</v>
      </c>
      <c r="C12" s="33"/>
      <c r="D12" s="33"/>
      <c r="E12" s="33"/>
      <c r="F12" s="33"/>
    </row>
    <row r="13" spans="1:6" ht="78" customHeight="1">
      <c r="A13" s="8" t="s">
        <v>155</v>
      </c>
      <c r="B13" s="27" t="s">
        <v>231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IF(Obj_CS17[[#This Row],[Descripción]]="","",ROW()-ROW(Obj_CS17[[#Headers],[Objetivo]]))</f>
        <v/>
      </c>
      <c r="B17" s="11"/>
      <c r="C17" s="5"/>
      <c r="D17" s="5"/>
      <c r="E17" s="12"/>
      <c r="F17" s="12"/>
    </row>
    <row r="18" spans="1:6">
      <c r="A18" s="21" t="s">
        <v>470</v>
      </c>
      <c r="B18" s="18"/>
      <c r="C18" s="22"/>
      <c r="D18" s="22"/>
      <c r="E18" s="23">
        <f>SUBTOTAL(109,Obj_CS17[Tiempo estimado])</f>
        <v>0</v>
      </c>
      <c r="F18" s="23">
        <f>SUBTOTAL(109,Obj_CS17[Tiempo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82" priority="1">
      <formula>$B4="En progreso"</formula>
    </cfRule>
    <cfRule type="expression" dxfId="781" priority="2">
      <formula>$B4="En espera"</formula>
    </cfRule>
    <cfRule type="expression" dxfId="780" priority="3">
      <formula>$B4="Finalizada"</formula>
    </cfRule>
    <cfRule type="expression" dxfId="779" priority="4">
      <formula>$B4="Sin página"</formula>
    </cfRule>
  </conditionalFormatting>
  <conditionalFormatting sqref="B5">
    <cfRule type="expression" dxfId="778" priority="5">
      <formula>$B5="I"</formula>
    </cfRule>
    <cfRule type="expression" dxfId="777" priority="6">
      <formula>$B5="N"</formula>
    </cfRule>
    <cfRule type="expression" dxfId="776" priority="7">
      <formula>$B5="M"</formula>
    </cfRule>
  </conditionalFormatting>
  <conditionalFormatting sqref="B6">
    <cfRule type="expression" dxfId="775" priority="8">
      <formula>$B6="Bajo"</formula>
    </cfRule>
    <cfRule type="expression" dxfId="774" priority="9">
      <formula>$B6="Medio bajo"</formula>
    </cfRule>
    <cfRule type="expression" dxfId="773" priority="10">
      <formula>$B6="Medio"</formula>
    </cfRule>
    <cfRule type="expression" dxfId="772" priority="11">
      <formula>$B6="Alto"</formula>
    </cfRule>
    <cfRule type="expression" dxfId="771" priority="12">
      <formula>$B6="Muy alto"</formula>
    </cfRule>
  </conditionalFormatting>
  <conditionalFormatting sqref="C17:C316">
    <cfRule type="expression" dxfId="770" priority="13">
      <formula>$C17="Sí"</formula>
    </cfRule>
    <cfRule type="expression" dxfId="769" priority="14">
      <formula>$C17="No"</formula>
    </cfRule>
  </conditionalFormatting>
  <dataValidations count="3">
    <dataValidation type="list" allowBlank="1" showErrorMessage="1" errorTitle="Finalizado" error="Elige Sí o No." sqref="C17:C316" xr:uid="{00000000-0002-0000-1100-000000000000}">
      <formula1>"Sí,No"</formula1>
    </dataValidation>
    <dataValidation type="list" errorStyle="warning" allowBlank="1" showErrorMessage="1" errorTitle="Responsable" error="Ese nombre no está en la lista. ¿Lo dejas igualmente?" sqref="D17:D316" xr:uid="{00000000-0002-0000-1100-000001000000}">
      <formula1>"Joaquin,Matthew,Jorge,Flavia,Lucia,José"</formula1>
    </dataValidation>
    <dataValidation type="decimal" operator="greaterThanOrEqual" allowBlank="1" showErrorMessage="1" errorTitle="Tiempo" error="Escribe solo el número de minutos, por ejemplo 30." sqref="E17:F316" xr:uid="{00000000-0002-0000-1100-000002000000}">
      <formula1>0</formula1>
    </dataValidation>
  </dataValidations>
  <hyperlinks>
    <hyperlink ref="F1" location="'Índice'!A1" tooltip="Volver al índice" xr:uid="{00000000-0004-0000-1100-000000000000}"/>
  </hyperlinks>
  <pageMargins left="0.75" right="0.75" top="1" bottom="1" header="0.5" footer="0.5"/>
  <pageSetup fitToHeight="0"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CS-18 · SANCIONES A AUTORES REINCIDENTES</v>
      </c>
      <c r="B1" s="32"/>
      <c r="C1" s="32"/>
      <c r="D1" s="32"/>
      <c r="E1" s="32"/>
      <c r="F1" s="7" t="s">
        <v>147</v>
      </c>
    </row>
    <row r="2" spans="1:6" ht="18" customHeight="1">
      <c r="A2" s="8" t="s">
        <v>3</v>
      </c>
      <c r="B2" s="30" t="s">
        <v>52</v>
      </c>
      <c r="C2" s="33"/>
      <c r="D2" s="33"/>
      <c r="E2" s="33"/>
      <c r="F2" s="33"/>
    </row>
    <row r="3" spans="1:6" ht="15" customHeight="1">
      <c r="A3" s="8" t="s">
        <v>4</v>
      </c>
      <c r="B3" s="29" t="str">
        <f>IFERROR(INDEX(Historias[Título],MATCH($B$2,Historias[Ref],0))&amp;"","")</f>
        <v>SANCIONES A AUTORES REINCIDENTES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232</v>
      </c>
      <c r="C11" s="33"/>
      <c r="D11" s="33"/>
      <c r="E11" s="33"/>
      <c r="F11" s="33"/>
    </row>
    <row r="12" spans="1:6" ht="63" customHeight="1">
      <c r="A12" s="8" t="s">
        <v>153</v>
      </c>
      <c r="B12" s="27" t="s">
        <v>233</v>
      </c>
      <c r="C12" s="33"/>
      <c r="D12" s="33"/>
      <c r="E12" s="33"/>
      <c r="F12" s="33"/>
    </row>
    <row r="13" spans="1:6" ht="93" customHeight="1">
      <c r="A13" s="8" t="s">
        <v>155</v>
      </c>
      <c r="B13" s="27" t="s">
        <v>234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IF(Obj_CS18[[#This Row],[Descripción]]="","",ROW()-ROW(Obj_CS18[[#Headers],[Objetivo]]))</f>
        <v/>
      </c>
      <c r="B17" s="11"/>
      <c r="C17" s="5"/>
      <c r="D17" s="5"/>
      <c r="E17" s="12"/>
      <c r="F17" s="12"/>
    </row>
    <row r="18" spans="1:6">
      <c r="A18" s="21" t="s">
        <v>470</v>
      </c>
      <c r="B18" s="18"/>
      <c r="C18" s="22"/>
      <c r="D18" s="22"/>
      <c r="E18" s="23">
        <f>SUBTOTAL(109,Obj_CS18[Tiempo estimado])</f>
        <v>0</v>
      </c>
      <c r="F18" s="23">
        <f>SUBTOTAL(109,Obj_CS18[Tiempo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68" priority="1">
      <formula>$B4="En progreso"</formula>
    </cfRule>
    <cfRule type="expression" dxfId="767" priority="2">
      <formula>$B4="En espera"</formula>
    </cfRule>
    <cfRule type="expression" dxfId="766" priority="3">
      <formula>$B4="Finalizada"</formula>
    </cfRule>
    <cfRule type="expression" dxfId="765" priority="4">
      <formula>$B4="Sin página"</formula>
    </cfRule>
  </conditionalFormatting>
  <conditionalFormatting sqref="B5">
    <cfRule type="expression" dxfId="764" priority="5">
      <formula>$B5="I"</formula>
    </cfRule>
    <cfRule type="expression" dxfId="763" priority="6">
      <formula>$B5="N"</formula>
    </cfRule>
    <cfRule type="expression" dxfId="762" priority="7">
      <formula>$B5="M"</formula>
    </cfRule>
  </conditionalFormatting>
  <conditionalFormatting sqref="B6">
    <cfRule type="expression" dxfId="761" priority="8">
      <formula>$B6="Bajo"</formula>
    </cfRule>
    <cfRule type="expression" dxfId="760" priority="9">
      <formula>$B6="Medio bajo"</formula>
    </cfRule>
    <cfRule type="expression" dxfId="759" priority="10">
      <formula>$B6="Medio"</formula>
    </cfRule>
    <cfRule type="expression" dxfId="758" priority="11">
      <formula>$B6="Alto"</formula>
    </cfRule>
    <cfRule type="expression" dxfId="757" priority="12">
      <formula>$B6="Muy alto"</formula>
    </cfRule>
  </conditionalFormatting>
  <conditionalFormatting sqref="C17:C316">
    <cfRule type="expression" dxfId="756" priority="13">
      <formula>$C17="Sí"</formula>
    </cfRule>
    <cfRule type="expression" dxfId="755" priority="14">
      <formula>$C17="No"</formula>
    </cfRule>
  </conditionalFormatting>
  <dataValidations count="3">
    <dataValidation type="list" allowBlank="1" showErrorMessage="1" errorTitle="Finalizado" error="Elige Sí o No." sqref="C17:C316" xr:uid="{00000000-0002-0000-1200-000000000000}">
      <formula1>"Sí,No"</formula1>
    </dataValidation>
    <dataValidation type="list" errorStyle="warning" allowBlank="1" showErrorMessage="1" errorTitle="Responsable" error="Ese nombre no está en la lista. ¿Lo dejas igualmente?" sqref="D17:D316" xr:uid="{00000000-0002-0000-1200-000001000000}">
      <formula1>"Joaquin,Matthew,Jorge,Flavia,Lucia,José"</formula1>
    </dataValidation>
    <dataValidation type="decimal" operator="greaterThanOrEqual" allowBlank="1" showErrorMessage="1" errorTitle="Tiempo" error="Escribe solo el número de minutos, por ejemplo 30." sqref="E17:F316" xr:uid="{00000000-0002-0000-1200-000002000000}">
      <formula1>0</formula1>
    </dataValidation>
  </dataValidations>
  <hyperlinks>
    <hyperlink ref="F1" location="'Índice'!A1" tooltip="Volver al índice" xr:uid="{00000000-0004-0000-1200-000000000000}"/>
  </hyperlinks>
  <pageMargins left="0.75" right="0.75" top="1" bottom="1" header="0.5" footer="0.5"/>
  <pageSetup fitToHeight="0" orientation="landscape"/>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CS-19 · AVISOS DE MODERACIÓN (RETIRADA Y RESOLUCIÓN)</v>
      </c>
      <c r="B1" s="32"/>
      <c r="C1" s="32"/>
      <c r="D1" s="32"/>
      <c r="E1" s="32"/>
      <c r="F1" s="7" t="s">
        <v>147</v>
      </c>
    </row>
    <row r="2" spans="1:6" ht="18" customHeight="1">
      <c r="A2" s="8" t="s">
        <v>3</v>
      </c>
      <c r="B2" s="30" t="s">
        <v>54</v>
      </c>
      <c r="C2" s="33"/>
      <c r="D2" s="33"/>
      <c r="E2" s="33"/>
      <c r="F2" s="33"/>
    </row>
    <row r="3" spans="1:6" ht="15" customHeight="1">
      <c r="A3" s="8" t="s">
        <v>4</v>
      </c>
      <c r="B3" s="29" t="str">
        <f>IFERROR(INDEX(Historias[Título],MATCH($B$2,Historias[Ref],0))&amp;"","")</f>
        <v>AVISOS DE MODERACIÓN (RETIRADA Y RESOLUCIÓN)</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235</v>
      </c>
      <c r="C11" s="33"/>
      <c r="D11" s="33"/>
      <c r="E11" s="33"/>
      <c r="F11" s="33"/>
    </row>
    <row r="12" spans="1:6" ht="48" customHeight="1">
      <c r="A12" s="8" t="s">
        <v>153</v>
      </c>
      <c r="B12" s="27" t="s">
        <v>236</v>
      </c>
      <c r="C12" s="33"/>
      <c r="D12" s="33"/>
      <c r="E12" s="33"/>
      <c r="F12" s="33"/>
    </row>
    <row r="13" spans="1:6" ht="78" customHeight="1">
      <c r="A13" s="8" t="s">
        <v>155</v>
      </c>
      <c r="B13" s="27" t="s">
        <v>237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IF(Obj_CS19[[#This Row],[Descripción]]="","",ROW()-ROW(Obj_CS19[[#Headers],[Objetivo]]))</f>
        <v/>
      </c>
      <c r="B17" s="11"/>
      <c r="C17" s="5"/>
      <c r="D17" s="5"/>
      <c r="E17" s="12"/>
      <c r="F17" s="12"/>
    </row>
    <row r="18" spans="1:6">
      <c r="A18" s="21" t="s">
        <v>470</v>
      </c>
      <c r="B18" s="18"/>
      <c r="C18" s="22"/>
      <c r="D18" s="22"/>
      <c r="E18" s="23">
        <f>SUBTOTAL(109,Obj_CS19[Tiempo estimado])</f>
        <v>0</v>
      </c>
      <c r="F18" s="23">
        <f>SUBTOTAL(109,Obj_CS19[Tiempo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54" priority="1">
      <formula>$B4="En progreso"</formula>
    </cfRule>
    <cfRule type="expression" dxfId="753" priority="2">
      <formula>$B4="En espera"</formula>
    </cfRule>
    <cfRule type="expression" dxfId="752" priority="3">
      <formula>$B4="Finalizada"</formula>
    </cfRule>
    <cfRule type="expression" dxfId="751" priority="4">
      <formula>$B4="Sin página"</formula>
    </cfRule>
  </conditionalFormatting>
  <conditionalFormatting sqref="B5">
    <cfRule type="expression" dxfId="750" priority="5">
      <formula>$B5="I"</formula>
    </cfRule>
    <cfRule type="expression" dxfId="749" priority="6">
      <formula>$B5="N"</formula>
    </cfRule>
    <cfRule type="expression" dxfId="748" priority="7">
      <formula>$B5="M"</formula>
    </cfRule>
  </conditionalFormatting>
  <conditionalFormatting sqref="B6">
    <cfRule type="expression" dxfId="747" priority="8">
      <formula>$B6="Bajo"</formula>
    </cfRule>
    <cfRule type="expression" dxfId="746" priority="9">
      <formula>$B6="Medio bajo"</formula>
    </cfRule>
    <cfRule type="expression" dxfId="745" priority="10">
      <formula>$B6="Medio"</formula>
    </cfRule>
    <cfRule type="expression" dxfId="744" priority="11">
      <formula>$B6="Alto"</formula>
    </cfRule>
    <cfRule type="expression" dxfId="743" priority="12">
      <formula>$B6="Muy alto"</formula>
    </cfRule>
  </conditionalFormatting>
  <conditionalFormatting sqref="C17:C316">
    <cfRule type="expression" dxfId="742" priority="13">
      <formula>$C17="Sí"</formula>
    </cfRule>
    <cfRule type="expression" dxfId="741" priority="14">
      <formula>$C17="No"</formula>
    </cfRule>
  </conditionalFormatting>
  <dataValidations count="3">
    <dataValidation type="list" allowBlank="1" showErrorMessage="1" errorTitle="Finalizado" error="Elige Sí o No." sqref="C17:C316" xr:uid="{00000000-0002-0000-1300-000000000000}">
      <formula1>"Sí,No"</formula1>
    </dataValidation>
    <dataValidation type="list" errorStyle="warning" allowBlank="1" showErrorMessage="1" errorTitle="Responsable" error="Ese nombre no está en la lista. ¿Lo dejas igualmente?" sqref="D17:D316" xr:uid="{00000000-0002-0000-1300-000001000000}">
      <formula1>"Joaquin,Matthew,Jorge,Flavia,Lucia,José"</formula1>
    </dataValidation>
    <dataValidation type="decimal" operator="greaterThanOrEqual" allowBlank="1" showErrorMessage="1" errorTitle="Tiempo" error="Escribe solo el número de minutos, por ejemplo 30." sqref="E17:F316" xr:uid="{00000000-0002-0000-1300-000002000000}">
      <formula1>0</formula1>
    </dataValidation>
  </dataValidations>
  <hyperlinks>
    <hyperlink ref="F1" location="'Índice'!A1" tooltip="Volver al índice" xr:uid="{00000000-0004-0000-1300-000000000000}"/>
  </hyperlinks>
  <pageMargins left="0.75" right="0.75" top="1" bottom="1" header="0.5" footer="0.5"/>
  <pageSetup fitToHeight="0" orientation="landscape"/>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CS-20 · AGRUPACIÓN Y LÍMITE DE FRECUENCIA DE AVISOS</v>
      </c>
      <c r="B1" s="32"/>
      <c r="C1" s="32"/>
      <c r="D1" s="32"/>
      <c r="E1" s="32"/>
      <c r="F1" s="7" t="s">
        <v>147</v>
      </c>
    </row>
    <row r="2" spans="1:6" ht="18" customHeight="1">
      <c r="A2" s="8" t="s">
        <v>3</v>
      </c>
      <c r="B2" s="30" t="s">
        <v>56</v>
      </c>
      <c r="C2" s="33"/>
      <c r="D2" s="33"/>
      <c r="E2" s="33"/>
      <c r="F2" s="33"/>
    </row>
    <row r="3" spans="1:6" ht="15" customHeight="1">
      <c r="A3" s="8" t="s">
        <v>4</v>
      </c>
      <c r="B3" s="29" t="str">
        <f>IFERROR(INDEX(Historias[Título],MATCH($B$2,Historias[Ref],0))&amp;"","")</f>
        <v>AGRUPACIÓN Y LÍMITE DE FRECUENCIA DE AVISOS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238</v>
      </c>
      <c r="C11" s="33"/>
      <c r="D11" s="33"/>
      <c r="E11" s="33"/>
      <c r="F11" s="33"/>
    </row>
    <row r="12" spans="1:6" ht="63" customHeight="1">
      <c r="A12" s="8" t="s">
        <v>153</v>
      </c>
      <c r="B12" s="27" t="s">
        <v>239</v>
      </c>
      <c r="C12" s="33"/>
      <c r="D12" s="33"/>
      <c r="E12" s="33"/>
      <c r="F12" s="33"/>
    </row>
    <row r="13" spans="1:6" ht="93" customHeight="1">
      <c r="A13" s="8" t="s">
        <v>155</v>
      </c>
      <c r="B13" s="27" t="s">
        <v>240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IF(Obj_CS20[[#This Row],[Descripción]]="","",ROW()-ROW(Obj_CS20[[#Headers],[Objetivo]]))</f>
        <v/>
      </c>
      <c r="B17" s="11"/>
      <c r="C17" s="5"/>
      <c r="D17" s="5"/>
      <c r="E17" s="12"/>
      <c r="F17" s="12"/>
    </row>
    <row r="18" spans="1:6">
      <c r="A18" s="21" t="s">
        <v>470</v>
      </c>
      <c r="B18" s="18"/>
      <c r="C18" s="22"/>
      <c r="D18" s="22"/>
      <c r="E18" s="23">
        <f>SUBTOTAL(109,Obj_CS20[Tiempo estimado])</f>
        <v>0</v>
      </c>
      <c r="F18" s="23">
        <f>SUBTOTAL(109,Obj_CS20[Tiempo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40" priority="1">
      <formula>$B4="En progreso"</formula>
    </cfRule>
    <cfRule type="expression" dxfId="739" priority="2">
      <formula>$B4="En espera"</formula>
    </cfRule>
    <cfRule type="expression" dxfId="738" priority="3">
      <formula>$B4="Finalizada"</formula>
    </cfRule>
    <cfRule type="expression" dxfId="737" priority="4">
      <formula>$B4="Sin página"</formula>
    </cfRule>
  </conditionalFormatting>
  <conditionalFormatting sqref="B5">
    <cfRule type="expression" dxfId="736" priority="5">
      <formula>$B5="I"</formula>
    </cfRule>
    <cfRule type="expression" dxfId="735" priority="6">
      <formula>$B5="N"</formula>
    </cfRule>
    <cfRule type="expression" dxfId="734" priority="7">
      <formula>$B5="M"</formula>
    </cfRule>
  </conditionalFormatting>
  <conditionalFormatting sqref="B6">
    <cfRule type="expression" dxfId="733" priority="8">
      <formula>$B6="Bajo"</formula>
    </cfRule>
    <cfRule type="expression" dxfId="732" priority="9">
      <formula>$B6="Medio bajo"</formula>
    </cfRule>
    <cfRule type="expression" dxfId="731" priority="10">
      <formula>$B6="Medio"</formula>
    </cfRule>
    <cfRule type="expression" dxfId="730" priority="11">
      <formula>$B6="Alto"</formula>
    </cfRule>
    <cfRule type="expression" dxfId="729" priority="12">
      <formula>$B6="Muy alto"</formula>
    </cfRule>
  </conditionalFormatting>
  <conditionalFormatting sqref="C17:C316">
    <cfRule type="expression" dxfId="728" priority="13">
      <formula>$C17="Sí"</formula>
    </cfRule>
    <cfRule type="expression" dxfId="727" priority="14">
      <formula>$C17="No"</formula>
    </cfRule>
  </conditionalFormatting>
  <dataValidations count="3">
    <dataValidation type="list" allowBlank="1" showErrorMessage="1" errorTitle="Finalizado" error="Elige Sí o No." sqref="C17:C316" xr:uid="{00000000-0002-0000-1400-000000000000}">
      <formula1>"Sí,No"</formula1>
    </dataValidation>
    <dataValidation type="list" errorStyle="warning" allowBlank="1" showErrorMessage="1" errorTitle="Responsable" error="Ese nombre no está en la lista. ¿Lo dejas igualmente?" sqref="D17:D316" xr:uid="{00000000-0002-0000-1400-000001000000}">
      <formula1>"Joaquin,Matthew,Jorge,Flavia,Lucia,José"</formula1>
    </dataValidation>
    <dataValidation type="decimal" operator="greaterThanOrEqual" allowBlank="1" showErrorMessage="1" errorTitle="Tiempo" error="Escribe solo el número de minutos, por ejemplo 30." sqref="E17:F316" xr:uid="{00000000-0002-0000-1400-000002000000}">
      <formula1>0</formula1>
    </dataValidation>
  </dataValidations>
  <hyperlinks>
    <hyperlink ref="F1" location="'Índice'!A1" tooltip="Volver al índice" xr:uid="{00000000-0004-0000-1400-000000000000}"/>
  </hyperlinks>
  <pageMargins left="0.75" right="0.75" top="1" bottom="1" header="0.5" footer="0.5"/>
  <pageSetup fitToHeight="0" orientation="landscape"/>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CS-21 · REGISTRO DE DISPOSITIVOS Y PROVEEDOR PUSH</v>
      </c>
      <c r="B1" s="32"/>
      <c r="C1" s="32"/>
      <c r="D1" s="32"/>
      <c r="E1" s="32"/>
      <c r="F1" s="7" t="s">
        <v>147</v>
      </c>
    </row>
    <row r="2" spans="1:6" ht="18" customHeight="1">
      <c r="A2" s="8" t="s">
        <v>3</v>
      </c>
      <c r="B2" s="30" t="s">
        <v>58</v>
      </c>
      <c r="C2" s="33"/>
      <c r="D2" s="33"/>
      <c r="E2" s="33"/>
      <c r="F2" s="33"/>
    </row>
    <row r="3" spans="1:6" ht="15" customHeight="1">
      <c r="A3" s="8" t="s">
        <v>4</v>
      </c>
      <c r="B3" s="29" t="str">
        <f>IFERROR(INDEX(Historias[Título],MATCH($B$2,Historias[Ref],0))&amp;"","")</f>
        <v>REGISTRO DE DISPOSITIVOS Y PROVEEDOR PUSH</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149</v>
      </c>
      <c r="C9" s="33"/>
      <c r="D9" s="33"/>
      <c r="E9" s="33"/>
      <c r="F9" s="33"/>
    </row>
    <row r="10" spans="1:6" ht="18" customHeight="1">
      <c r="A10" s="8" t="s">
        <v>150</v>
      </c>
      <c r="B10" s="28">
        <v>46286</v>
      </c>
      <c r="C10" s="33"/>
      <c r="D10" s="33"/>
      <c r="E10" s="33"/>
      <c r="F10" s="33"/>
    </row>
    <row r="11" spans="1:6" ht="18" customHeight="1">
      <c r="A11" s="8" t="s">
        <v>151</v>
      </c>
      <c r="B11" s="27" t="s">
        <v>241</v>
      </c>
      <c r="C11" s="33"/>
      <c r="D11" s="33"/>
      <c r="E11" s="33"/>
      <c r="F11" s="33"/>
    </row>
    <row r="12" spans="1:6" ht="63" customHeight="1">
      <c r="A12" s="8" t="s">
        <v>153</v>
      </c>
      <c r="B12" s="27" t="s">
        <v>242</v>
      </c>
      <c r="C12" s="33"/>
      <c r="D12" s="33"/>
      <c r="E12" s="33"/>
      <c r="F12" s="33"/>
    </row>
    <row r="13" spans="1:6" ht="78" customHeight="1">
      <c r="A13" s="8" t="s">
        <v>155</v>
      </c>
      <c r="B13" s="27" t="s">
        <v>243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IF(Obj_CS21[[#This Row],[Descripción]]="","",ROW()-ROW(Obj_CS21[[#Headers],[Objetivo]]))</f>
        <v/>
      </c>
      <c r="B17" s="11"/>
      <c r="C17" s="5"/>
      <c r="D17" s="5"/>
      <c r="E17" s="12"/>
      <c r="F17" s="12"/>
    </row>
    <row r="18" spans="1:6">
      <c r="A18" s="21" t="s">
        <v>470</v>
      </c>
      <c r="B18" s="18"/>
      <c r="C18" s="22"/>
      <c r="D18" s="22"/>
      <c r="E18" s="23">
        <f>SUBTOTAL(109,Obj_CS21[Tiempo estimado])</f>
        <v>0</v>
      </c>
      <c r="F18" s="23">
        <f>SUBTOTAL(109,Obj_CS21[Tiempo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26" priority="1">
      <formula>$B4="En progreso"</formula>
    </cfRule>
    <cfRule type="expression" dxfId="725" priority="2">
      <formula>$B4="En espera"</formula>
    </cfRule>
    <cfRule type="expression" dxfId="724" priority="3">
      <formula>$B4="Finalizada"</formula>
    </cfRule>
    <cfRule type="expression" dxfId="723" priority="4">
      <formula>$B4="Sin página"</formula>
    </cfRule>
  </conditionalFormatting>
  <conditionalFormatting sqref="B5">
    <cfRule type="expression" dxfId="722" priority="5">
      <formula>$B5="I"</formula>
    </cfRule>
    <cfRule type="expression" dxfId="721" priority="6">
      <formula>$B5="N"</formula>
    </cfRule>
    <cfRule type="expression" dxfId="720" priority="7">
      <formula>$B5="M"</formula>
    </cfRule>
  </conditionalFormatting>
  <conditionalFormatting sqref="B6">
    <cfRule type="expression" dxfId="719" priority="8">
      <formula>$B6="Bajo"</formula>
    </cfRule>
    <cfRule type="expression" dxfId="718" priority="9">
      <formula>$B6="Medio bajo"</formula>
    </cfRule>
    <cfRule type="expression" dxfId="717" priority="10">
      <formula>$B6="Medio"</formula>
    </cfRule>
    <cfRule type="expression" dxfId="716" priority="11">
      <formula>$B6="Alto"</formula>
    </cfRule>
    <cfRule type="expression" dxfId="715" priority="12">
      <formula>$B6="Muy alto"</formula>
    </cfRule>
  </conditionalFormatting>
  <conditionalFormatting sqref="C17:C316">
    <cfRule type="expression" dxfId="714" priority="13">
      <formula>$C17="Sí"</formula>
    </cfRule>
    <cfRule type="expression" dxfId="713" priority="14">
      <formula>$C17="No"</formula>
    </cfRule>
  </conditionalFormatting>
  <dataValidations count="3">
    <dataValidation type="list" allowBlank="1" showErrorMessage="1" errorTitle="Finalizado" error="Elige Sí o No." sqref="C17:C316" xr:uid="{00000000-0002-0000-1500-000000000000}">
      <formula1>"Sí,No"</formula1>
    </dataValidation>
    <dataValidation type="list" errorStyle="warning" allowBlank="1" showErrorMessage="1" errorTitle="Responsable" error="Ese nombre no está en la lista. ¿Lo dejas igualmente?" sqref="D17:D316" xr:uid="{00000000-0002-0000-1500-000001000000}">
      <formula1>"Joaquin,Matthew,Jorge,Flavia,Lucia,José"</formula1>
    </dataValidation>
    <dataValidation type="decimal" operator="greaterThanOrEqual" allowBlank="1" showErrorMessage="1" errorTitle="Tiempo" error="Escribe solo el número de minutos, por ejemplo 30." sqref="E17:F316" xr:uid="{00000000-0002-0000-1500-000002000000}">
      <formula1>0</formula1>
    </dataValidation>
  </dataValidations>
  <hyperlinks>
    <hyperlink ref="F1" location="'Índice'!A1" tooltip="Volver al índice" xr:uid="{00000000-0004-0000-1500-000000000000}"/>
  </hyperlinks>
  <pageMargins left="0.75" right="0.75" top="1" bottom="1" header="0.5" footer="0.5"/>
  <pageSetup fitToHeight="0" orientation="landscape"/>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F24"/>
  <sheetViews>
    <sheetView workbookViewId="0">
      <selection activeCell="F1" activeCellId="1" sqref="H18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CS-22 · VISIBILIDAD EXPERIENCIAS</v>
      </c>
      <c r="B1" s="32"/>
      <c r="C1" s="32"/>
      <c r="D1" s="32"/>
      <c r="E1" s="32"/>
      <c r="F1" s="7" t="s">
        <v>147</v>
      </c>
    </row>
    <row r="2" spans="1:6" ht="18" customHeight="1">
      <c r="A2" s="8" t="s">
        <v>3</v>
      </c>
      <c r="B2" s="30" t="s">
        <v>60</v>
      </c>
      <c r="C2" s="33"/>
      <c r="D2" s="33"/>
      <c r="E2" s="33"/>
      <c r="F2" s="33"/>
    </row>
    <row r="3" spans="1:6" ht="15" customHeight="1">
      <c r="A3" s="8" t="s">
        <v>4</v>
      </c>
      <c r="B3" s="29" t="str">
        <f>IFERROR(INDEX(Historias[Título],MATCH($B$2,Historias[Ref],0))&amp;"","")</f>
        <v>VISIBILIDAD EXPERIENCIAS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7</v>
      </c>
      <c r="C7" s="33"/>
      <c r="D7" s="33"/>
      <c r="E7" s="33"/>
      <c r="F7" s="33"/>
    </row>
    <row r="8" spans="1:6" ht="15" customHeight="1">
      <c r="A8" s="8" t="s">
        <v>8</v>
      </c>
      <c r="B8" s="26">
        <f>SUMIFS(F:F,A:A,"&gt;0")/60</f>
        <v>0.15</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t="s">
        <v>139</v>
      </c>
      <c r="C11" s="33"/>
      <c r="D11" s="33"/>
      <c r="E11" s="33"/>
      <c r="F11" s="33"/>
    </row>
    <row r="12" spans="1:6" ht="48" customHeight="1">
      <c r="A12" s="8" t="s">
        <v>153</v>
      </c>
      <c r="B12" s="27" t="s">
        <v>245</v>
      </c>
      <c r="C12" s="33"/>
      <c r="D12" s="33"/>
      <c r="E12" s="33"/>
      <c r="F12" s="33"/>
    </row>
    <row r="13" spans="1:6" ht="63" customHeight="1">
      <c r="A13" s="8" t="s">
        <v>155</v>
      </c>
      <c r="B13" s="27" t="s">
        <v>246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0.75" customHeight="1">
      <c r="A17" s="16">
        <f>IF(Obj_CS22[[#This Row],[Descripción]]="","",ROW()-ROW(Obj_CS22[[#Headers],[Objetivo]]))</f>
        <v>1</v>
      </c>
      <c r="B17" s="11" t="s">
        <v>247</v>
      </c>
      <c r="C17" s="14"/>
      <c r="D17" s="14"/>
      <c r="E17" s="15"/>
      <c r="F17" s="15"/>
    </row>
    <row r="18" spans="1:6" ht="45" customHeight="1">
      <c r="A18" s="16">
        <f>IF(Obj_CS22[[#This Row],[Descripción]]="","",ROW()-ROW(Obj_CS22[[#Headers],[Objetivo]]))</f>
        <v>2</v>
      </c>
      <c r="B18" s="11" t="s">
        <v>248</v>
      </c>
      <c r="C18" s="14" t="s">
        <v>165</v>
      </c>
      <c r="D18" s="14" t="s">
        <v>149</v>
      </c>
      <c r="E18" s="15">
        <v>10</v>
      </c>
      <c r="F18" s="15">
        <v>8</v>
      </c>
    </row>
    <row r="19" spans="1:6" ht="28.5">
      <c r="A19" s="16">
        <f>IF(Obj_CS22[[#This Row],[Descripción]]="","",ROW()-ROW(Obj_CS22[[#Headers],[Objetivo]]))</f>
        <v>3</v>
      </c>
      <c r="B19" s="11" t="s">
        <v>249</v>
      </c>
      <c r="C19" s="14" t="s">
        <v>165</v>
      </c>
      <c r="D19" s="14" t="s">
        <v>149</v>
      </c>
      <c r="E19" s="15">
        <v>2</v>
      </c>
      <c r="F19" s="15">
        <v>1</v>
      </c>
    </row>
    <row r="20" spans="1:6" ht="28.5">
      <c r="A20" s="16">
        <f>IF(Obj_CS22[[#This Row],[Descripción]]="","",ROW()-ROW(Obj_CS22[[#Headers],[Objetivo]]))</f>
        <v>4</v>
      </c>
      <c r="B20" s="11" t="s">
        <v>250</v>
      </c>
      <c r="C20" s="14"/>
      <c r="D20" s="14"/>
      <c r="E20" s="15"/>
      <c r="F20" s="15"/>
    </row>
    <row r="21" spans="1:6" ht="28.5">
      <c r="A21" s="16">
        <f>IF(Obj_CS22[[#This Row],[Descripción]]="","",ROW()-ROW(Obj_CS22[[#Headers],[Objetivo]]))</f>
        <v>5</v>
      </c>
      <c r="B21" s="11" t="s">
        <v>251</v>
      </c>
      <c r="C21" s="14"/>
      <c r="D21" s="14" t="s">
        <v>244</v>
      </c>
      <c r="E21" s="15">
        <v>10</v>
      </c>
      <c r="F21" s="15"/>
    </row>
    <row r="22" spans="1:6" ht="28.5">
      <c r="A22" s="16">
        <f>IF(Obj_CS22[[#This Row],[Descripción]]="","",ROW()-ROW(Obj_CS22[[#Headers],[Objetivo]]))</f>
        <v>6</v>
      </c>
      <c r="B22" s="11" t="s">
        <v>252</v>
      </c>
      <c r="C22" s="14"/>
      <c r="D22" s="14" t="s">
        <v>244</v>
      </c>
      <c r="E22" s="15">
        <v>10</v>
      </c>
      <c r="F22" s="15"/>
    </row>
    <row r="23" spans="1:6" ht="28.5">
      <c r="A23" s="16">
        <f>IF(Obj_CS22[[#This Row],[Descripción]]="","",ROW()-ROW(Obj_CS22[[#Headers],[Objetivo]]))</f>
        <v>7</v>
      </c>
      <c r="B23" s="11" t="s">
        <v>253</v>
      </c>
      <c r="C23" s="14"/>
      <c r="D23" s="14" t="s">
        <v>244</v>
      </c>
      <c r="E23" s="15">
        <v>10</v>
      </c>
      <c r="F23" s="15"/>
    </row>
    <row r="24" spans="1:6">
      <c r="A24" s="17" t="s">
        <v>470</v>
      </c>
      <c r="B24" s="18"/>
      <c r="C24" s="19"/>
      <c r="D24" s="22"/>
      <c r="E24" s="20">
        <f>SUBTOTAL(109,Obj_CS22[Tiempo estimado])</f>
        <v>42</v>
      </c>
      <c r="F24" s="23">
        <f>SUBTOTAL(109,Obj_CS22[Tiempo total])</f>
        <v>9</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712" priority="1">
      <formula>$B4="En progreso"</formula>
    </cfRule>
    <cfRule type="expression" dxfId="711" priority="2">
      <formula>$B4="En espera"</formula>
    </cfRule>
    <cfRule type="expression" dxfId="710" priority="3">
      <formula>$B4="Finalizada"</formula>
    </cfRule>
    <cfRule type="expression" dxfId="709" priority="4">
      <formula>$B4="Sin página"</formula>
    </cfRule>
  </conditionalFormatting>
  <conditionalFormatting sqref="B5">
    <cfRule type="expression" dxfId="708" priority="5">
      <formula>$B5="I"</formula>
    </cfRule>
    <cfRule type="expression" dxfId="707" priority="6">
      <formula>$B5="N"</formula>
    </cfRule>
    <cfRule type="expression" dxfId="706" priority="7">
      <formula>$B5="M"</formula>
    </cfRule>
  </conditionalFormatting>
  <conditionalFormatting sqref="B6">
    <cfRule type="expression" dxfId="705" priority="8">
      <formula>$B6="Bajo"</formula>
    </cfRule>
    <cfRule type="expression" dxfId="704" priority="9">
      <formula>$B6="Medio bajo"</formula>
    </cfRule>
    <cfRule type="expression" dxfId="703" priority="10">
      <formula>$B6="Medio"</formula>
    </cfRule>
    <cfRule type="expression" dxfId="702" priority="11">
      <formula>$B6="Alto"</formula>
    </cfRule>
    <cfRule type="expression" dxfId="701" priority="12">
      <formula>$B6="Muy alto"</formula>
    </cfRule>
  </conditionalFormatting>
  <conditionalFormatting sqref="C17:C316">
    <cfRule type="expression" dxfId="700" priority="13">
      <formula>$C17="Sí"</formula>
    </cfRule>
    <cfRule type="expression" dxfId="699" priority="14">
      <formula>$C17="No"</formula>
    </cfRule>
  </conditionalFormatting>
  <dataValidations count="3">
    <dataValidation type="list" allowBlank="1" showErrorMessage="1" errorTitle="Finalizado" error="Elige Sí o No." sqref="C17:C316" xr:uid="{00000000-0002-0000-1600-000000000000}">
      <formula1>"Sí,No"</formula1>
    </dataValidation>
    <dataValidation type="list" errorStyle="warning" allowBlank="1" showErrorMessage="1" errorTitle="Responsable" error="Ese nombre no está en la lista. ¿Lo dejas igualmente?" sqref="D17:D316" xr:uid="{00000000-0002-0000-1600-000001000000}">
      <formula1>"Joaquin,Matthew,Jorge,Flavia,Lucia,José"</formula1>
    </dataValidation>
    <dataValidation type="decimal" operator="greaterThanOrEqual" allowBlank="1" showErrorMessage="1" errorTitle="Tiempo" error="Escribe solo el número de minutos, por ejemplo 30." sqref="E17:F316" xr:uid="{00000000-0002-0000-1600-000002000000}">
      <formula1>0</formula1>
    </dataValidation>
  </dataValidations>
  <hyperlinks>
    <hyperlink ref="F1" location="'Índice'!A1" tooltip="Volver al índice" xr:uid="{00000000-0004-0000-1600-000000000000}"/>
  </hyperlinks>
  <pageMargins left="0.75" right="0.75" top="1" bottom="1" header="0.5" footer="0.5"/>
  <pageSetup fitToHeight="0" orientation="landscape"/>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CS-23 · PESTAÑA DE BÚSQUEDA</v>
      </c>
      <c r="B1" s="32"/>
      <c r="C1" s="32"/>
      <c r="D1" s="32"/>
      <c r="E1" s="32"/>
      <c r="F1" s="7" t="s">
        <v>147</v>
      </c>
    </row>
    <row r="2" spans="1:6" ht="18" customHeight="1">
      <c r="A2" s="8" t="s">
        <v>3</v>
      </c>
      <c r="B2" s="30" t="s">
        <v>62</v>
      </c>
      <c r="C2" s="33"/>
      <c r="D2" s="33"/>
      <c r="E2" s="33"/>
      <c r="F2" s="33"/>
    </row>
    <row r="3" spans="1:6" ht="15" customHeight="1">
      <c r="A3" s="8" t="s">
        <v>4</v>
      </c>
      <c r="B3" s="29" t="str">
        <f>IFERROR(INDEX(Historias[Título],MATCH($B$2,Historias[Ref],0))&amp;"","")</f>
        <v>PESTAÑA DE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254</v>
      </c>
      <c r="C12" s="33"/>
      <c r="D12" s="33"/>
      <c r="E12" s="33"/>
      <c r="F12" s="33"/>
    </row>
    <row r="13" spans="1:6" ht="45" customHeight="1">
      <c r="A13" s="8" t="s">
        <v>155</v>
      </c>
      <c r="B13" s="27" t="s">
        <v>255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IF(Obj_CS23[[#This Row],[Descripción]]="","",ROW()-ROW(Obj_CS23[[#Headers],[Objetivo]]))</f>
        <v/>
      </c>
      <c r="B17" s="11"/>
      <c r="C17" s="5"/>
      <c r="D17" s="5"/>
      <c r="E17" s="12"/>
      <c r="F17" s="12"/>
    </row>
    <row r="18" spans="1:6">
      <c r="A18" s="21" t="s">
        <v>470</v>
      </c>
      <c r="B18" s="18"/>
      <c r="C18" s="22"/>
      <c r="D18" s="22"/>
      <c r="E18" s="23">
        <f>SUBTOTAL(109,Obj_CS23[Tiempo estimado])</f>
        <v>0</v>
      </c>
      <c r="F18" s="23">
        <f>SUBTOTAL(109,Obj_CS23[Tiempo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89" priority="1">
      <formula>$B4="En progreso"</formula>
    </cfRule>
    <cfRule type="expression" dxfId="688" priority="2">
      <formula>$B4="En espera"</formula>
    </cfRule>
    <cfRule type="expression" dxfId="687" priority="3">
      <formula>$B4="Finalizada"</formula>
    </cfRule>
    <cfRule type="expression" dxfId="686" priority="4">
      <formula>$B4="Sin página"</formula>
    </cfRule>
  </conditionalFormatting>
  <conditionalFormatting sqref="B5">
    <cfRule type="expression" dxfId="685" priority="5">
      <formula>$B5="I"</formula>
    </cfRule>
    <cfRule type="expression" dxfId="684" priority="6">
      <formula>$B5="N"</formula>
    </cfRule>
    <cfRule type="expression" dxfId="683" priority="7">
      <formula>$B5="M"</formula>
    </cfRule>
  </conditionalFormatting>
  <conditionalFormatting sqref="B6">
    <cfRule type="expression" dxfId="682" priority="8">
      <formula>$B6="Bajo"</formula>
    </cfRule>
    <cfRule type="expression" dxfId="681" priority="9">
      <formula>$B6="Medio bajo"</formula>
    </cfRule>
    <cfRule type="expression" dxfId="680" priority="10">
      <formula>$B6="Medio"</formula>
    </cfRule>
    <cfRule type="expression" dxfId="679" priority="11">
      <formula>$B6="Alto"</formula>
    </cfRule>
    <cfRule type="expression" dxfId="678" priority="12">
      <formula>$B6="Muy alto"</formula>
    </cfRule>
  </conditionalFormatting>
  <conditionalFormatting sqref="C17:C316">
    <cfRule type="expression" dxfId="677" priority="13">
      <formula>$C17="Sí"</formula>
    </cfRule>
    <cfRule type="expression" dxfId="676" priority="14">
      <formula>$C17="No"</formula>
    </cfRule>
  </conditionalFormatting>
  <dataValidations count="3">
    <dataValidation type="list" allowBlank="1" showErrorMessage="1" errorTitle="Finalizado" error="Elige Sí o No." sqref="C17:C316" xr:uid="{00000000-0002-0000-1700-000000000000}">
      <formula1>"Sí,No"</formula1>
    </dataValidation>
    <dataValidation type="list" errorStyle="warning" allowBlank="1" showErrorMessage="1" errorTitle="Responsable" error="Ese nombre no está en la lista. ¿Lo dejas igualmente?" sqref="D17:D316" xr:uid="{00000000-0002-0000-1700-000001000000}">
      <formula1>"Joaquin,Matthew,Jorge,Flavia,Lucia,José"</formula1>
    </dataValidation>
    <dataValidation type="decimal" operator="greaterThanOrEqual" allowBlank="1" showErrorMessage="1" errorTitle="Tiempo" error="Escribe solo el número de minutos, por ejemplo 30." sqref="E17:F316" xr:uid="{00000000-0002-0000-1700-000002000000}">
      <formula1>0</formula1>
    </dataValidation>
  </dataValidations>
  <hyperlinks>
    <hyperlink ref="F1" location="'Índice'!A1" tooltip="Volver al índice" xr:uid="{00000000-0004-0000-1700-000000000000}"/>
  </hyperlinks>
  <pageMargins left="0.75" right="0.75" top="1" bottom="1" header="0.5" footer="0.5"/>
  <pageSetup fitToHeight="0" orientation="landscape"/>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CS-24 · RESULTADO BÚSQUEDA</v>
      </c>
      <c r="B1" s="32"/>
      <c r="C1" s="32"/>
      <c r="D1" s="32"/>
      <c r="E1" s="32"/>
      <c r="F1" s="7" t="s">
        <v>147</v>
      </c>
    </row>
    <row r="2" spans="1:6" ht="18" customHeight="1">
      <c r="A2" s="8" t="s">
        <v>3</v>
      </c>
      <c r="B2" s="30" t="s">
        <v>64</v>
      </c>
      <c r="C2" s="33"/>
      <c r="D2" s="33"/>
      <c r="E2" s="33"/>
      <c r="F2" s="33"/>
    </row>
    <row r="3" spans="1:6" ht="15" customHeight="1">
      <c r="A3" s="8" t="s">
        <v>4</v>
      </c>
      <c r="B3" s="29" t="str">
        <f>IFERROR(INDEX(Historias[Título],MATCH($B$2,Historias[Ref],0))&amp;"","")</f>
        <v>RESULTADO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8</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256</v>
      </c>
      <c r="C12" s="33"/>
      <c r="D12" s="33"/>
      <c r="E12" s="33"/>
      <c r="F12" s="33"/>
    </row>
    <row r="13" spans="1:6" ht="63" customHeight="1">
      <c r="A13" s="8" t="s">
        <v>155</v>
      </c>
      <c r="B13" s="27" t="s">
        <v>257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IF(Obj_CS24[[#This Row],[Descripción]]="","",ROW()-ROW(Obj_CS24[[#Headers],[Objetivo]]))</f>
        <v/>
      </c>
      <c r="B17" s="11"/>
      <c r="C17" s="5"/>
      <c r="D17" s="5"/>
      <c r="E17" s="12"/>
      <c r="F17" s="12"/>
    </row>
    <row r="18" spans="1:6">
      <c r="A18" s="21" t="s">
        <v>470</v>
      </c>
      <c r="B18" s="18"/>
      <c r="C18" s="22"/>
      <c r="D18" s="22"/>
      <c r="E18" s="23">
        <f>SUBTOTAL(109,Obj_CS24[Tiempo estimado])</f>
        <v>0</v>
      </c>
      <c r="F18" s="23">
        <f>SUBTOTAL(109,Obj_CS24[Tiempo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75" priority="1">
      <formula>$B4="En progreso"</formula>
    </cfRule>
    <cfRule type="expression" dxfId="674" priority="2">
      <formula>$B4="En espera"</formula>
    </cfRule>
    <cfRule type="expression" dxfId="673" priority="3">
      <formula>$B4="Finalizada"</formula>
    </cfRule>
    <cfRule type="expression" dxfId="672" priority="4">
      <formula>$B4="Sin página"</formula>
    </cfRule>
  </conditionalFormatting>
  <conditionalFormatting sqref="B5">
    <cfRule type="expression" dxfId="671" priority="5">
      <formula>$B5="I"</formula>
    </cfRule>
    <cfRule type="expression" dxfId="670" priority="6">
      <formula>$B5="N"</formula>
    </cfRule>
    <cfRule type="expression" dxfId="669" priority="7">
      <formula>$B5="M"</formula>
    </cfRule>
  </conditionalFormatting>
  <conditionalFormatting sqref="B6">
    <cfRule type="expression" dxfId="668" priority="8">
      <formula>$B6="Bajo"</formula>
    </cfRule>
    <cfRule type="expression" dxfId="667" priority="9">
      <formula>$B6="Medio bajo"</formula>
    </cfRule>
    <cfRule type="expression" dxfId="666" priority="10">
      <formula>$B6="Medio"</formula>
    </cfRule>
    <cfRule type="expression" dxfId="665" priority="11">
      <formula>$B6="Alto"</formula>
    </cfRule>
    <cfRule type="expression" dxfId="664" priority="12">
      <formula>$B6="Muy alto"</formula>
    </cfRule>
  </conditionalFormatting>
  <conditionalFormatting sqref="C17:C316">
    <cfRule type="expression" dxfId="663" priority="13">
      <formula>$C17="Sí"</formula>
    </cfRule>
    <cfRule type="expression" dxfId="662" priority="14">
      <formula>$C17="No"</formula>
    </cfRule>
  </conditionalFormatting>
  <dataValidations count="3">
    <dataValidation type="list" allowBlank="1" showErrorMessage="1" errorTitle="Finalizado" error="Elige Sí o No." sqref="C17:C316" xr:uid="{00000000-0002-0000-1800-000000000000}">
      <formula1>"Sí,No"</formula1>
    </dataValidation>
    <dataValidation type="list" errorStyle="warning" allowBlank="1" showErrorMessage="1" errorTitle="Responsable" error="Ese nombre no está en la lista. ¿Lo dejas igualmente?" sqref="D17:D316" xr:uid="{00000000-0002-0000-1800-000001000000}">
      <formula1>"Joaquin,Matthew,Jorge,Flavia,Lucia,José"</formula1>
    </dataValidation>
    <dataValidation type="decimal" operator="greaterThanOrEqual" allowBlank="1" showErrorMessage="1" errorTitle="Tiempo" error="Escribe solo el número de minutos, por ejemplo 30." sqref="E17:F316" xr:uid="{00000000-0002-0000-1800-000002000000}">
      <formula1>0</formula1>
    </dataValidation>
  </dataValidations>
  <hyperlinks>
    <hyperlink ref="F1" location="'Índice'!A1" tooltip="Volver al índice" xr:uid="{00000000-0004-0000-1800-000000000000}"/>
  </hyperlinks>
  <pageMargins left="0.75" right="0.75" top="1" bottom="1" header="0.5" footer="0.5"/>
  <pageSetup fitToHeight="0" orientation="landscape"/>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CS-25 · VISTA RESUMIDA DE EXPERIENCIA</v>
      </c>
      <c r="B1" s="32"/>
      <c r="C1" s="32"/>
      <c r="D1" s="32"/>
      <c r="E1" s="32"/>
      <c r="F1" s="7" t="s">
        <v>147</v>
      </c>
    </row>
    <row r="2" spans="1:6" ht="18" customHeight="1">
      <c r="A2" s="8" t="s">
        <v>3</v>
      </c>
      <c r="B2" s="30" t="s">
        <v>66</v>
      </c>
      <c r="C2" s="33"/>
      <c r="D2" s="33"/>
      <c r="E2" s="33"/>
      <c r="F2" s="33"/>
    </row>
    <row r="3" spans="1:6" ht="15" customHeight="1">
      <c r="A3" s="8" t="s">
        <v>4</v>
      </c>
      <c r="B3" s="29" t="str">
        <f>IFERROR(INDEX(Historias[Título],MATCH($B$2,Historias[Ref],0))&amp;"","")</f>
        <v>VISTA RESUMIDA DE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10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93" customHeight="1">
      <c r="A12" s="8" t="s">
        <v>153</v>
      </c>
      <c r="B12" s="27" t="s">
        <v>258</v>
      </c>
      <c r="C12" s="33"/>
      <c r="D12" s="33"/>
      <c r="E12" s="33"/>
      <c r="F12" s="33"/>
    </row>
    <row r="13" spans="1:6" ht="78" customHeight="1">
      <c r="A13" s="8" t="s">
        <v>155</v>
      </c>
      <c r="B13" s="27" t="s">
        <v>259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IF(Obj_CS25[[#This Row],[Descripción]]="","",ROW()-ROW(Obj_CS25[[#Headers],[Objetivo]]))</f>
        <v/>
      </c>
      <c r="B17" s="11"/>
      <c r="C17" s="5"/>
      <c r="D17" s="5"/>
      <c r="E17" s="12"/>
      <c r="F17" s="12"/>
    </row>
    <row r="18" spans="1:6">
      <c r="A18" s="21" t="s">
        <v>470</v>
      </c>
      <c r="B18" s="18"/>
      <c r="C18" s="22"/>
      <c r="D18" s="22"/>
      <c r="E18" s="23">
        <f>SUBTOTAL(109,Obj_CS25[Tiempo estimado])</f>
        <v>0</v>
      </c>
      <c r="F18" s="23">
        <f>SUBTOTAL(109,Obj_CS25[Tiempo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61" priority="1">
      <formula>$B4="En progreso"</formula>
    </cfRule>
    <cfRule type="expression" dxfId="660" priority="2">
      <formula>$B4="En espera"</formula>
    </cfRule>
    <cfRule type="expression" dxfId="659" priority="3">
      <formula>$B4="Finalizada"</formula>
    </cfRule>
    <cfRule type="expression" dxfId="658" priority="4">
      <formula>$B4="Sin página"</formula>
    </cfRule>
  </conditionalFormatting>
  <conditionalFormatting sqref="B5">
    <cfRule type="expression" dxfId="657" priority="5">
      <formula>$B5="I"</formula>
    </cfRule>
    <cfRule type="expression" dxfId="656" priority="6">
      <formula>$B5="N"</formula>
    </cfRule>
    <cfRule type="expression" dxfId="655" priority="7">
      <formula>$B5="M"</formula>
    </cfRule>
  </conditionalFormatting>
  <conditionalFormatting sqref="B6">
    <cfRule type="expression" dxfId="654" priority="8">
      <formula>$B6="Bajo"</formula>
    </cfRule>
    <cfRule type="expression" dxfId="653" priority="9">
      <formula>$B6="Medio bajo"</formula>
    </cfRule>
    <cfRule type="expression" dxfId="652" priority="10">
      <formula>$B6="Medio"</formula>
    </cfRule>
    <cfRule type="expression" dxfId="651" priority="11">
      <formula>$B6="Alto"</formula>
    </cfRule>
    <cfRule type="expression" dxfId="650" priority="12">
      <formula>$B6="Muy alto"</formula>
    </cfRule>
  </conditionalFormatting>
  <conditionalFormatting sqref="C17:C316">
    <cfRule type="expression" dxfId="649" priority="13">
      <formula>$C17="Sí"</formula>
    </cfRule>
    <cfRule type="expression" dxfId="648" priority="14">
      <formula>$C17="No"</formula>
    </cfRule>
  </conditionalFormatting>
  <dataValidations count="3">
    <dataValidation type="list" allowBlank="1" showErrorMessage="1" errorTitle="Finalizado" error="Elige Sí o No." sqref="C17:C316" xr:uid="{00000000-0002-0000-1900-000000000000}">
      <formula1>"Sí,No"</formula1>
    </dataValidation>
    <dataValidation type="list" errorStyle="warning" allowBlank="1" showErrorMessage="1" errorTitle="Responsable" error="Ese nombre no está en la lista. ¿Lo dejas igualmente?" sqref="D17:D316" xr:uid="{00000000-0002-0000-1900-000001000000}">
      <formula1>"Joaquin,Matthew,Jorge,Flavia,Lucia,José"</formula1>
    </dataValidation>
    <dataValidation type="decimal" operator="greaterThanOrEqual" allowBlank="1" showErrorMessage="1" errorTitle="Tiempo" error="Escribe solo el número de minutos, por ejemplo 30." sqref="E17:F316" xr:uid="{00000000-0002-0000-1900-000002000000}">
      <formula1>0</formula1>
    </dataValidation>
  </dataValidations>
  <hyperlinks>
    <hyperlink ref="F1" location="'Índice'!A1" tooltip="Volver al índice" xr:uid="{00000000-0004-0000-1900-000000000000}"/>
  </hyperlinks>
  <pageMargins left="0.75" right="0.75" top="1" bottom="1" header="0.5" footer="0.5"/>
  <pageSetup fitToHeight="0" orientation="landscape"/>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CS-26 · BARRA DE BÚSQUEDA</v>
      </c>
      <c r="B1" s="32"/>
      <c r="C1" s="32"/>
      <c r="D1" s="32"/>
      <c r="E1" s="32"/>
      <c r="F1" s="7" t="s">
        <v>147</v>
      </c>
    </row>
    <row r="2" spans="1:6" ht="18" customHeight="1">
      <c r="A2" s="8" t="s">
        <v>3</v>
      </c>
      <c r="B2" s="30" t="s">
        <v>68</v>
      </c>
      <c r="C2" s="33"/>
      <c r="D2" s="33"/>
      <c r="E2" s="33"/>
      <c r="F2" s="33"/>
    </row>
    <row r="3" spans="1:6" ht="15" customHeight="1">
      <c r="A3" s="8" t="s">
        <v>4</v>
      </c>
      <c r="B3" s="29" t="str">
        <f>IFERROR(INDEX(Historias[Título],MATCH($B$2,Historias[Ref],0))&amp;"","")</f>
        <v>BARRA DE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20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78" customHeight="1">
      <c r="A12" s="8" t="s">
        <v>153</v>
      </c>
      <c r="B12" s="27" t="s">
        <v>260</v>
      </c>
      <c r="C12" s="33"/>
      <c r="D12" s="33"/>
      <c r="E12" s="33"/>
      <c r="F12" s="33"/>
    </row>
    <row r="13" spans="1:6" ht="78" customHeight="1">
      <c r="A13" s="8" t="s">
        <v>155</v>
      </c>
      <c r="B13" s="27" t="s">
        <v>261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IF(Obj_CS26[[#This Row],[Descripción]]="","",ROW()-ROW(Obj_CS26[[#Headers],[Objetivo]]))</f>
        <v/>
      </c>
      <c r="B17" s="11"/>
      <c r="C17" s="5"/>
      <c r="D17" s="5"/>
      <c r="E17" s="12"/>
      <c r="F17" s="12"/>
    </row>
    <row r="18" spans="1:6">
      <c r="A18" s="21" t="s">
        <v>470</v>
      </c>
      <c r="B18" s="18"/>
      <c r="C18" s="22"/>
      <c r="D18" s="22"/>
      <c r="E18" s="23">
        <f>SUBTOTAL(109,Obj_CS26[Tiempo estimado])</f>
        <v>0</v>
      </c>
      <c r="F18" s="23">
        <f>SUBTOTAL(109,Obj_CS26[Tiempo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47" priority="1">
      <formula>$B4="En progreso"</formula>
    </cfRule>
    <cfRule type="expression" dxfId="646" priority="2">
      <formula>$B4="En espera"</formula>
    </cfRule>
    <cfRule type="expression" dxfId="645" priority="3">
      <formula>$B4="Finalizada"</formula>
    </cfRule>
    <cfRule type="expression" dxfId="644" priority="4">
      <formula>$B4="Sin página"</formula>
    </cfRule>
  </conditionalFormatting>
  <conditionalFormatting sqref="B5">
    <cfRule type="expression" dxfId="643" priority="5">
      <formula>$B5="I"</formula>
    </cfRule>
    <cfRule type="expression" dxfId="642" priority="6">
      <formula>$B5="N"</formula>
    </cfRule>
    <cfRule type="expression" dxfId="641" priority="7">
      <formula>$B5="M"</formula>
    </cfRule>
  </conditionalFormatting>
  <conditionalFormatting sqref="B6">
    <cfRule type="expression" dxfId="640" priority="8">
      <formula>$B6="Bajo"</formula>
    </cfRule>
    <cfRule type="expression" dxfId="639" priority="9">
      <formula>$B6="Medio bajo"</formula>
    </cfRule>
    <cfRule type="expression" dxfId="638" priority="10">
      <formula>$B6="Medio"</formula>
    </cfRule>
    <cfRule type="expression" dxfId="637" priority="11">
      <formula>$B6="Alto"</formula>
    </cfRule>
    <cfRule type="expression" dxfId="636" priority="12">
      <formula>$B6="Muy alto"</formula>
    </cfRule>
  </conditionalFormatting>
  <conditionalFormatting sqref="C17:C316">
    <cfRule type="expression" dxfId="635" priority="13">
      <formula>$C17="Sí"</formula>
    </cfRule>
    <cfRule type="expression" dxfId="634" priority="14">
      <formula>$C17="No"</formula>
    </cfRule>
  </conditionalFormatting>
  <dataValidations count="3">
    <dataValidation type="list" allowBlank="1" showErrorMessage="1" errorTitle="Finalizado" error="Elige Sí o No." sqref="C17:C316" xr:uid="{00000000-0002-0000-1A00-000000000000}">
      <formula1>"Sí,No"</formula1>
    </dataValidation>
    <dataValidation type="list" errorStyle="warning" allowBlank="1" showErrorMessage="1" errorTitle="Responsable" error="Ese nombre no está en la lista. ¿Lo dejas igualmente?" sqref="D17:D316" xr:uid="{00000000-0002-0000-1A00-000001000000}">
      <formula1>"Joaquin,Matthew,Jorge,Flavia,Lucia,José"</formula1>
    </dataValidation>
    <dataValidation type="decimal" operator="greaterThanOrEqual" allowBlank="1" showErrorMessage="1" errorTitle="Tiempo" error="Escribe solo el número de minutos, por ejemplo 30." sqref="E17:F316" xr:uid="{00000000-0002-0000-1A00-000002000000}">
      <formula1>0</formula1>
    </dataValidation>
  </dataValidations>
  <hyperlinks>
    <hyperlink ref="F1" location="'Índice'!A1" tooltip="Volver al índice" xr:uid="{00000000-0004-0000-1A00-000000000000}"/>
  </hyperlinks>
  <pageMargins left="0.75" right="0.75" top="1" bottom="1" header="0.5" footer="0.5"/>
  <pageSetup fitToHeight="0" orientation="landscape"/>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CS-27 · VISIBILIDAD INICIO</v>
      </c>
      <c r="B1" s="32"/>
      <c r="C1" s="32"/>
      <c r="D1" s="32"/>
      <c r="E1" s="32"/>
      <c r="F1" s="7" t="s">
        <v>147</v>
      </c>
    </row>
    <row r="2" spans="1:6" ht="18" customHeight="1">
      <c r="A2" s="8" t="s">
        <v>3</v>
      </c>
      <c r="B2" s="30" t="s">
        <v>70</v>
      </c>
      <c r="C2" s="33"/>
      <c r="D2" s="33"/>
      <c r="E2" s="33"/>
      <c r="F2" s="33"/>
    </row>
    <row r="3" spans="1:6" ht="15" customHeight="1">
      <c r="A3" s="8" t="s">
        <v>4</v>
      </c>
      <c r="B3" s="29" t="str">
        <f>IFERROR(INDEX(Historias[Título],MATCH($B$2,Historias[Ref],0))&amp;"","")</f>
        <v>VISIBILIDAD INICIO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13</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262</v>
      </c>
      <c r="C12" s="33"/>
      <c r="D12" s="33"/>
      <c r="E12" s="33"/>
      <c r="F12" s="33"/>
    </row>
    <row r="13" spans="1:6" ht="93" customHeight="1">
      <c r="A13" s="8" t="s">
        <v>155</v>
      </c>
      <c r="B13" s="27" t="s">
        <v>263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IF(Obj_CS27[[#This Row],[Descripción]]="","",ROW()-ROW(Obj_CS27[[#Headers],[Objetivo]]))</f>
        <v/>
      </c>
      <c r="B17" s="11"/>
      <c r="C17" s="5"/>
      <c r="D17" s="5"/>
      <c r="E17" s="12"/>
      <c r="F17" s="12"/>
    </row>
    <row r="18" spans="1:6">
      <c r="A18" s="21" t="s">
        <v>470</v>
      </c>
      <c r="B18" s="18"/>
      <c r="C18" s="22"/>
      <c r="D18" s="22"/>
      <c r="E18" s="23">
        <f>SUBTOTAL(109,Obj_CS27[Tiempo estimado])</f>
        <v>0</v>
      </c>
      <c r="F18" s="23">
        <f>SUBTOTAL(109,Obj_CS27[Tiempo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33" priority="1">
      <formula>$B4="En progreso"</formula>
    </cfRule>
    <cfRule type="expression" dxfId="632" priority="2">
      <formula>$B4="En espera"</formula>
    </cfRule>
    <cfRule type="expression" dxfId="631" priority="3">
      <formula>$B4="Finalizada"</formula>
    </cfRule>
    <cfRule type="expression" dxfId="630" priority="4">
      <formula>$B4="Sin página"</formula>
    </cfRule>
  </conditionalFormatting>
  <conditionalFormatting sqref="B5">
    <cfRule type="expression" dxfId="629" priority="5">
      <formula>$B5="I"</formula>
    </cfRule>
    <cfRule type="expression" dxfId="628" priority="6">
      <formula>$B5="N"</formula>
    </cfRule>
    <cfRule type="expression" dxfId="627" priority="7">
      <formula>$B5="M"</formula>
    </cfRule>
  </conditionalFormatting>
  <conditionalFormatting sqref="B6">
    <cfRule type="expression" dxfId="626" priority="8">
      <formula>$B6="Bajo"</formula>
    </cfRule>
    <cfRule type="expression" dxfId="625" priority="9">
      <formula>$B6="Medio bajo"</formula>
    </cfRule>
    <cfRule type="expression" dxfId="624" priority="10">
      <formula>$B6="Medio"</formula>
    </cfRule>
    <cfRule type="expression" dxfId="623" priority="11">
      <formula>$B6="Alto"</formula>
    </cfRule>
    <cfRule type="expression" dxfId="622" priority="12">
      <formula>$B6="Muy alto"</formula>
    </cfRule>
  </conditionalFormatting>
  <conditionalFormatting sqref="C17:C316">
    <cfRule type="expression" dxfId="621" priority="13">
      <formula>$C17="Sí"</formula>
    </cfRule>
    <cfRule type="expression" dxfId="620" priority="14">
      <formula>$C17="No"</formula>
    </cfRule>
  </conditionalFormatting>
  <dataValidations count="3">
    <dataValidation type="list" allowBlank="1" showErrorMessage="1" errorTitle="Finalizado" error="Elige Sí o No." sqref="C17:C316" xr:uid="{00000000-0002-0000-1B00-000000000000}">
      <formula1>"Sí,No"</formula1>
    </dataValidation>
    <dataValidation type="list" errorStyle="warning" allowBlank="1" showErrorMessage="1" errorTitle="Responsable" error="Ese nombre no está en la lista. ¿Lo dejas igualmente?" sqref="D17:D316" xr:uid="{00000000-0002-0000-1B00-000001000000}">
      <formula1>"Joaquin,Matthew,Jorge,Flavia,Lucia,José"</formula1>
    </dataValidation>
    <dataValidation type="decimal" operator="greaterThanOrEqual" allowBlank="1" showErrorMessage="1" errorTitle="Tiempo" error="Escribe solo el número de minutos, por ejemplo 30." sqref="E17:F316" xr:uid="{00000000-0002-0000-1B00-000002000000}">
      <formula1>0</formula1>
    </dataValidation>
  </dataValidations>
  <hyperlinks>
    <hyperlink ref="F1" location="'Índice'!A1" tooltip="Volver al índice" xr:uid="{00000000-0004-0000-1B00-000000000000}"/>
  </hyperlinks>
  <pageMargins left="0.75" right="0.75" top="1" bottom="1" header="0.5" footer="0.5"/>
  <pageSetup fitToHeight="0" orientation="landscape"/>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CS-28 · ORDENACIÓN RESULTADOS</v>
      </c>
      <c r="B1" s="32"/>
      <c r="C1" s="32"/>
      <c r="D1" s="32"/>
      <c r="E1" s="32"/>
      <c r="F1" s="7" t="s">
        <v>147</v>
      </c>
    </row>
    <row r="2" spans="1:6" ht="18" customHeight="1">
      <c r="A2" s="8" t="s">
        <v>3</v>
      </c>
      <c r="B2" s="30" t="s">
        <v>72</v>
      </c>
      <c r="C2" s="33"/>
      <c r="D2" s="33"/>
      <c r="E2" s="33"/>
      <c r="F2" s="33"/>
    </row>
    <row r="3" spans="1:6" ht="15" customHeight="1">
      <c r="A3" s="8" t="s">
        <v>4</v>
      </c>
      <c r="B3" s="29" t="str">
        <f>IFERROR(INDEX(Historias[Título],MATCH($B$2,Historias[Ref],0))&amp;"","")</f>
        <v>ORDENACIÓN RESULTADOS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264</v>
      </c>
      <c r="C12" s="33"/>
      <c r="D12" s="33"/>
      <c r="E12" s="33"/>
      <c r="F12" s="33"/>
    </row>
    <row r="13" spans="1:6" ht="93" customHeight="1">
      <c r="A13" s="8" t="s">
        <v>155</v>
      </c>
      <c r="B13" s="27" t="s">
        <v>265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IF(Obj_CS28[[#This Row],[Descripción]]="","",ROW()-ROW(Obj_CS28[[#Headers],[Objetivo]]))</f>
        <v/>
      </c>
      <c r="B17" s="11"/>
      <c r="C17" s="5"/>
      <c r="D17" s="5"/>
      <c r="E17" s="12"/>
      <c r="F17" s="12"/>
    </row>
    <row r="18" spans="1:6">
      <c r="A18" s="21" t="s">
        <v>470</v>
      </c>
      <c r="B18" s="18"/>
      <c r="C18" s="22"/>
      <c r="D18" s="22"/>
      <c r="E18" s="23">
        <f>SUBTOTAL(109,Obj_CS28[Tiempo estimado])</f>
        <v>0</v>
      </c>
      <c r="F18" s="23">
        <f>SUBTOTAL(109,Obj_CS28[Tiempo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19" priority="1">
      <formula>$B4="En progreso"</formula>
    </cfRule>
    <cfRule type="expression" dxfId="618" priority="2">
      <formula>$B4="En espera"</formula>
    </cfRule>
    <cfRule type="expression" dxfId="617" priority="3">
      <formula>$B4="Finalizada"</formula>
    </cfRule>
    <cfRule type="expression" dxfId="616" priority="4">
      <formula>$B4="Sin página"</formula>
    </cfRule>
  </conditionalFormatting>
  <conditionalFormatting sqref="B5">
    <cfRule type="expression" dxfId="615" priority="5">
      <formula>$B5="I"</formula>
    </cfRule>
    <cfRule type="expression" dxfId="614" priority="6">
      <formula>$B5="N"</formula>
    </cfRule>
    <cfRule type="expression" dxfId="613" priority="7">
      <formula>$B5="M"</formula>
    </cfRule>
  </conditionalFormatting>
  <conditionalFormatting sqref="B6">
    <cfRule type="expression" dxfId="612" priority="8">
      <formula>$B6="Bajo"</formula>
    </cfRule>
    <cfRule type="expression" dxfId="611" priority="9">
      <formula>$B6="Medio bajo"</formula>
    </cfRule>
    <cfRule type="expression" dxfId="610" priority="10">
      <formula>$B6="Medio"</formula>
    </cfRule>
    <cfRule type="expression" dxfId="609" priority="11">
      <formula>$B6="Alto"</formula>
    </cfRule>
    <cfRule type="expression" dxfId="608" priority="12">
      <formula>$B6="Muy alto"</formula>
    </cfRule>
  </conditionalFormatting>
  <conditionalFormatting sqref="C17:C316">
    <cfRule type="expression" dxfId="607" priority="13">
      <formula>$C17="Sí"</formula>
    </cfRule>
    <cfRule type="expression" dxfId="606" priority="14">
      <formula>$C17="No"</formula>
    </cfRule>
  </conditionalFormatting>
  <dataValidations count="3">
    <dataValidation type="list" allowBlank="1" showErrorMessage="1" errorTitle="Finalizado" error="Elige Sí o No." sqref="C17:C316" xr:uid="{00000000-0002-0000-1C00-000000000000}">
      <formula1>"Sí,No"</formula1>
    </dataValidation>
    <dataValidation type="list" errorStyle="warning" allowBlank="1" showErrorMessage="1" errorTitle="Responsable" error="Ese nombre no está en la lista. ¿Lo dejas igualmente?" sqref="D17:D316" xr:uid="{00000000-0002-0000-1C00-000001000000}">
      <formula1>"Joaquin,Matthew,Jorge,Flavia,Lucia,José"</formula1>
    </dataValidation>
    <dataValidation type="decimal" operator="greaterThanOrEqual" allowBlank="1" showErrorMessage="1" errorTitle="Tiempo" error="Escribe solo el número de minutos, por ejemplo 30." sqref="E17:F316" xr:uid="{00000000-0002-0000-1C00-000002000000}">
      <formula1>0</formula1>
    </dataValidation>
  </dataValidations>
  <hyperlinks>
    <hyperlink ref="F1" location="'Índice'!A1" tooltip="Volver al índice" xr:uid="{00000000-0004-0000-1C00-000000000000}"/>
  </hyperlinks>
  <pageMargins left="0.75" right="0.75" top="1" bottom="1" header="0.5" footer="0.5"/>
  <pageSetup fitToHeight="0" orientation="landscape"/>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CS-29 · RECUPERACIÓN DE BORRADORES</v>
      </c>
      <c r="B1" s="32"/>
      <c r="C1" s="32"/>
      <c r="D1" s="32"/>
      <c r="E1" s="32"/>
      <c r="F1" s="7" t="s">
        <v>147</v>
      </c>
    </row>
    <row r="2" spans="1:6" ht="18" customHeight="1">
      <c r="A2" s="8" t="s">
        <v>3</v>
      </c>
      <c r="B2" s="30" t="s">
        <v>74</v>
      </c>
      <c r="C2" s="33"/>
      <c r="D2" s="33"/>
      <c r="E2" s="33"/>
      <c r="F2" s="33"/>
    </row>
    <row r="3" spans="1:6" ht="15" customHeight="1">
      <c r="A3" s="8" t="s">
        <v>4</v>
      </c>
      <c r="B3" s="29" t="str">
        <f>IFERROR(INDEX(Historias[Título],MATCH($B$2,Historias[Ref],0))&amp;"","")</f>
        <v>RECUPERACIÓN DE BORRADORES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266</v>
      </c>
      <c r="C12" s="33"/>
      <c r="D12" s="33"/>
      <c r="E12" s="33"/>
      <c r="F12" s="33"/>
    </row>
    <row r="13" spans="1:6" ht="63" customHeight="1">
      <c r="A13" s="8" t="s">
        <v>155</v>
      </c>
      <c r="B13" s="27" t="s">
        <v>267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IF(Obj_CS29[[#This Row],[Descripción]]="","",ROW()-ROW(Obj_CS29[[#Headers],[Objetivo]]))</f>
        <v/>
      </c>
      <c r="B17" s="11"/>
      <c r="C17" s="5"/>
      <c r="D17" s="5"/>
      <c r="E17" s="12"/>
      <c r="F17" s="12"/>
    </row>
    <row r="18" spans="1:6">
      <c r="A18" s="21" t="s">
        <v>470</v>
      </c>
      <c r="B18" s="18"/>
      <c r="C18" s="22"/>
      <c r="D18" s="22"/>
      <c r="E18" s="23">
        <f>SUBTOTAL(109,Obj_CS29[Tiempo estimado])</f>
        <v>0</v>
      </c>
      <c r="F18" s="23">
        <f>SUBTOTAL(109,Obj_CS29[Tiempo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05" priority="1">
      <formula>$B4="En progreso"</formula>
    </cfRule>
    <cfRule type="expression" dxfId="604" priority="2">
      <formula>$B4="En espera"</formula>
    </cfRule>
    <cfRule type="expression" dxfId="603" priority="3">
      <formula>$B4="Finalizada"</formula>
    </cfRule>
    <cfRule type="expression" dxfId="602" priority="4">
      <formula>$B4="Sin página"</formula>
    </cfRule>
  </conditionalFormatting>
  <conditionalFormatting sqref="B5">
    <cfRule type="expression" dxfId="601" priority="5">
      <formula>$B5="I"</formula>
    </cfRule>
    <cfRule type="expression" dxfId="600" priority="6">
      <formula>$B5="N"</formula>
    </cfRule>
    <cfRule type="expression" dxfId="599" priority="7">
      <formula>$B5="M"</formula>
    </cfRule>
  </conditionalFormatting>
  <conditionalFormatting sqref="B6">
    <cfRule type="expression" dxfId="598" priority="8">
      <formula>$B6="Bajo"</formula>
    </cfRule>
    <cfRule type="expression" dxfId="597" priority="9">
      <formula>$B6="Medio bajo"</formula>
    </cfRule>
    <cfRule type="expression" dxfId="596" priority="10">
      <formula>$B6="Medio"</formula>
    </cfRule>
    <cfRule type="expression" dxfId="595" priority="11">
      <formula>$B6="Alto"</formula>
    </cfRule>
    <cfRule type="expression" dxfId="594" priority="12">
      <formula>$B6="Muy alto"</formula>
    </cfRule>
  </conditionalFormatting>
  <conditionalFormatting sqref="C17:C316">
    <cfRule type="expression" dxfId="593" priority="13">
      <formula>$C17="Sí"</formula>
    </cfRule>
    <cfRule type="expression" dxfId="592" priority="14">
      <formula>$C17="No"</formula>
    </cfRule>
  </conditionalFormatting>
  <dataValidations count="3">
    <dataValidation type="list" allowBlank="1" showErrorMessage="1" errorTitle="Finalizado" error="Elige Sí o No." sqref="C17:C316" xr:uid="{00000000-0002-0000-1D00-000000000000}">
      <formula1>"Sí,No"</formula1>
    </dataValidation>
    <dataValidation type="list" errorStyle="warning" allowBlank="1" showErrorMessage="1" errorTitle="Responsable" error="Ese nombre no está en la lista. ¿Lo dejas igualmente?" sqref="D17:D316" xr:uid="{00000000-0002-0000-1D00-000001000000}">
      <formula1>"Joaquin,Matthew,Jorge,Flavia,Lucia,José"</formula1>
    </dataValidation>
    <dataValidation type="decimal" operator="greaterThanOrEqual" allowBlank="1" showErrorMessage="1" errorTitle="Tiempo" error="Escribe solo el número de minutos, por ejemplo 30." sqref="E17:F316" xr:uid="{00000000-0002-0000-1D00-000002000000}">
      <formula1>0</formula1>
    </dataValidation>
  </dataValidations>
  <hyperlinks>
    <hyperlink ref="F1" location="'Índice'!A1" tooltip="Volver al índice" xr:uid="{00000000-0004-0000-1D00-000000000000}"/>
  </hyperlinks>
  <pageMargins left="0.75" right="0.75" top="1" bottom="1" header="0.5" footer="0.5"/>
  <pageSetup fitToHeight="0" orientation="landscape"/>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F27"/>
  <sheetViews>
    <sheetView workbookViewId="0">
      <selection activeCell="F1" activeCellId="1" sqref="A1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CS-30 · CONTROL DE ACCESO</v>
      </c>
      <c r="B1" s="32"/>
      <c r="C1" s="32"/>
      <c r="D1" s="32"/>
      <c r="E1" s="32"/>
      <c r="F1" s="7" t="s">
        <v>147</v>
      </c>
    </row>
    <row r="2" spans="1:6" ht="18" customHeight="1">
      <c r="A2" s="8" t="s">
        <v>3</v>
      </c>
      <c r="B2" s="30" t="s">
        <v>76</v>
      </c>
      <c r="C2" s="33"/>
      <c r="D2" s="33"/>
      <c r="E2" s="33"/>
      <c r="F2" s="33"/>
    </row>
    <row r="3" spans="1:6" ht="15" customHeight="1">
      <c r="A3" s="8" t="s">
        <v>4</v>
      </c>
      <c r="B3" s="29" t="str">
        <f>IFERROR(INDEX(Historias[Título],MATCH($B$2,Historias[Ref],0))&amp;"","")</f>
        <v>CONTROL DE ACCESO</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7</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268</v>
      </c>
      <c r="C12" s="33"/>
      <c r="D12" s="33"/>
      <c r="E12" s="33"/>
      <c r="F12" s="33"/>
    </row>
    <row r="13" spans="1:6" ht="63" customHeight="1">
      <c r="A13" s="8" t="s">
        <v>155</v>
      </c>
      <c r="B13" s="27" t="s">
        <v>269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60" customHeight="1">
      <c r="A17" s="17">
        <f>IF(Obj_CS30[[#This Row],[Descripción]]="","",ROW()-ROW(Obj_CS30[[#Headers],[Objetivo]]))</f>
        <v>1</v>
      </c>
      <c r="B17" s="18" t="s">
        <v>270</v>
      </c>
      <c r="C17" s="19"/>
      <c r="D17" s="19"/>
      <c r="E17" s="20"/>
      <c r="F17" s="20"/>
    </row>
    <row r="18" spans="1:6" ht="57.75">
      <c r="A18" s="17">
        <f>IF(Obj_CS30[[#This Row],[Descripción]]="","",ROW()-ROW(Obj_CS30[[#Headers],[Objetivo]]))</f>
        <v>2</v>
      </c>
      <c r="B18" s="18" t="s">
        <v>271</v>
      </c>
      <c r="C18" s="19"/>
      <c r="D18" s="19"/>
      <c r="E18" s="20"/>
      <c r="F18" s="20"/>
    </row>
    <row r="19" spans="1:6" ht="43.5">
      <c r="A19" s="16">
        <f>IF(Obj_CS30[[#This Row],[Descripción]]="","",ROW()-ROW(Obj_CS30[[#Headers],[Objetivo]]))</f>
        <v>3</v>
      </c>
      <c r="B19" s="11" t="s">
        <v>272</v>
      </c>
      <c r="C19" s="14"/>
      <c r="D19" s="14"/>
      <c r="E19" s="15"/>
      <c r="F19" s="15"/>
    </row>
    <row r="20" spans="1:6" ht="43.5">
      <c r="A20" s="17">
        <f>IF(Obj_CS30[[#This Row],[Descripción]]="","",ROW()-ROW(Obj_CS30[[#Headers],[Objetivo]]))</f>
        <v>4</v>
      </c>
      <c r="B20" s="11" t="s">
        <v>273</v>
      </c>
      <c r="C20" s="14"/>
      <c r="D20" s="14"/>
      <c r="E20" s="15"/>
      <c r="F20" s="15"/>
    </row>
    <row r="21" spans="1:6" ht="43.5">
      <c r="A21" s="16">
        <f>IF(Obj_CS30[[#This Row],[Descripción]]="","",ROW()-ROW(Obj_CS30[[#Headers],[Objetivo]]))</f>
        <v>5</v>
      </c>
      <c r="B21" s="11" t="s">
        <v>274</v>
      </c>
      <c r="C21" s="14"/>
      <c r="D21" s="14"/>
      <c r="E21" s="15"/>
      <c r="F21" s="15"/>
    </row>
    <row r="22" spans="1:6" ht="28.5">
      <c r="A22" s="17">
        <f>IF(Obj_CS30[[#This Row],[Descripción]]="","",ROW()-ROW(Obj_CS30[[#Headers],[Objetivo]]))</f>
        <v>6</v>
      </c>
      <c r="B22" s="11" t="s">
        <v>275</v>
      </c>
      <c r="C22" s="14"/>
      <c r="D22" s="14"/>
      <c r="E22" s="15"/>
      <c r="F22" s="15"/>
    </row>
    <row r="23" spans="1:6" ht="43.5">
      <c r="A23" s="16">
        <f>IF(Obj_CS30[[#This Row],[Descripción]]="","",ROW()-ROW(Obj_CS30[[#Headers],[Objetivo]]))</f>
        <v>7</v>
      </c>
      <c r="B23" s="11" t="s">
        <v>276</v>
      </c>
      <c r="C23" s="14"/>
      <c r="D23" s="14"/>
      <c r="E23" s="15"/>
      <c r="F23" s="15"/>
    </row>
    <row r="24" spans="1:6" ht="43.5">
      <c r="A24" s="17">
        <f>IF(Obj_CS30[[#This Row],[Descripción]]="","",ROW()-ROW(Obj_CS30[[#Headers],[Objetivo]]))</f>
        <v>8</v>
      </c>
      <c r="B24" s="11" t="s">
        <v>277</v>
      </c>
      <c r="C24" s="14"/>
      <c r="D24" s="14"/>
      <c r="E24" s="15"/>
      <c r="F24" s="15"/>
    </row>
    <row r="25" spans="1:6" ht="57.75">
      <c r="A25" s="16">
        <f>IF(Obj_CS30[[#This Row],[Descripción]]="","",ROW()-ROW(Obj_CS30[[#Headers],[Objetivo]]))</f>
        <v>9</v>
      </c>
      <c r="B25" s="11" t="s">
        <v>278</v>
      </c>
      <c r="C25" s="14"/>
      <c r="D25" s="14"/>
      <c r="E25" s="15"/>
      <c r="F25" s="15"/>
    </row>
    <row r="26" spans="1:6" ht="43.5">
      <c r="A26" s="17">
        <f>IF(Obj_CS30[[#This Row],[Descripción]]="","",ROW()-ROW(Obj_CS30[[#Headers],[Objetivo]]))</f>
        <v>10</v>
      </c>
      <c r="B26" s="11" t="s">
        <v>279</v>
      </c>
      <c r="C26" s="14"/>
      <c r="D26" s="14"/>
      <c r="E26" s="15"/>
      <c r="F26" s="15"/>
    </row>
    <row r="27" spans="1:6">
      <c r="A27" s="17" t="s">
        <v>470</v>
      </c>
      <c r="B27" s="18"/>
      <c r="C27" s="19"/>
      <c r="D27" s="19"/>
      <c r="E27" s="20">
        <f>SUBTOTAL(109,Obj_CS30[Tiempo estimado])</f>
        <v>0</v>
      </c>
      <c r="F27" s="20">
        <f>SUBTOTAL(109,Obj_CS30[Tiempo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91" priority="3">
      <formula>$B4="En progreso"</formula>
    </cfRule>
    <cfRule type="expression" dxfId="590" priority="4">
      <formula>$B4="En espera"</formula>
    </cfRule>
    <cfRule type="expression" dxfId="589" priority="5">
      <formula>$B4="Finalizada"</formula>
    </cfRule>
    <cfRule type="expression" dxfId="588" priority="6">
      <formula>$B4="Sin página"</formula>
    </cfRule>
  </conditionalFormatting>
  <conditionalFormatting sqref="B5">
    <cfRule type="expression" dxfId="587" priority="7">
      <formula>$B5="I"</formula>
    </cfRule>
    <cfRule type="expression" dxfId="586" priority="8">
      <formula>$B5="N"</formula>
    </cfRule>
    <cfRule type="expression" dxfId="585" priority="9">
      <formula>$B5="M"</formula>
    </cfRule>
  </conditionalFormatting>
  <conditionalFormatting sqref="B6">
    <cfRule type="expression" dxfId="584" priority="10">
      <formula>$B6="Bajo"</formula>
    </cfRule>
    <cfRule type="expression" dxfId="583" priority="11">
      <formula>$B6="Medio bajo"</formula>
    </cfRule>
    <cfRule type="expression" dxfId="582" priority="12">
      <formula>$B6="Medio"</formula>
    </cfRule>
    <cfRule type="expression" dxfId="581" priority="13">
      <formula>$B6="Alto"</formula>
    </cfRule>
    <cfRule type="expression" dxfId="580" priority="14">
      <formula>$B6="Muy alto"</formula>
    </cfRule>
  </conditionalFormatting>
  <conditionalFormatting sqref="C17:C324">
    <cfRule type="expression" dxfId="579" priority="15">
      <formula>$C17="Sí"</formula>
    </cfRule>
    <cfRule type="expression" dxfId="578" priority="16">
      <formula>$C17="No"</formula>
    </cfRule>
  </conditionalFormatting>
  <dataValidations count="3">
    <dataValidation type="list" allowBlank="1" showErrorMessage="1" errorTitle="Finalizado" error="Elige Sí o No." sqref="C17:C324" xr:uid="{00000000-0002-0000-1E00-000000000000}">
      <formula1>"Sí,No"</formula1>
    </dataValidation>
    <dataValidation type="list" errorStyle="warning" allowBlank="1" showErrorMessage="1" errorTitle="Responsable" error="Ese nombre no está en la lista. ¿Lo dejas igualmente?" sqref="D17:D324" xr:uid="{00000000-0002-0000-1E00-000001000000}">
      <formula1>"Joaquin,Matthew,Jorge,Flavia,Lucia,José"</formula1>
    </dataValidation>
    <dataValidation type="decimal" operator="greaterThanOrEqual" allowBlank="1" showErrorMessage="1" errorTitle="Tiempo" error="Escribe solo el número de minutos, por ejemplo 30." sqref="E17:F324" xr:uid="{00000000-0002-0000-1E00-000002000000}">
      <formula1>0</formula1>
    </dataValidation>
  </dataValidations>
  <hyperlinks>
    <hyperlink ref="F1" location="'Índice'!A1" tooltip="Volver al índice" xr:uid="{00000000-0004-0000-1E00-000000000000}"/>
  </hyperlinks>
  <pageMargins left="0.75" right="0.75" top="1" bottom="1" header="0.5" footer="0.5"/>
  <pageSetup fitToHeight="0" orientation="landscape"/>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CS-31 · FILTRO “EXPERIENCIAS DE AMIGOS”</v>
      </c>
      <c r="B1" s="32"/>
      <c r="C1" s="32"/>
      <c r="D1" s="32"/>
      <c r="E1" s="32"/>
      <c r="F1" s="7" t="s">
        <v>147</v>
      </c>
    </row>
    <row r="2" spans="1:6" ht="18" customHeight="1">
      <c r="A2" s="8" t="s">
        <v>3</v>
      </c>
      <c r="B2" s="30" t="s">
        <v>78</v>
      </c>
      <c r="C2" s="33"/>
      <c r="D2" s="33"/>
      <c r="E2" s="33"/>
      <c r="F2" s="33"/>
    </row>
    <row r="3" spans="1:6" ht="15" customHeight="1">
      <c r="A3" s="8" t="s">
        <v>4</v>
      </c>
      <c r="B3" s="29" t="str">
        <f>IFERROR(INDEX(Historias[Título],MATCH($B$2,Historias[Ref],0))&amp;"","")</f>
        <v>FILTRO “EXPERIENCIAS DE AMIGOS”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280</v>
      </c>
      <c r="C12" s="33"/>
      <c r="D12" s="33"/>
      <c r="E12" s="33"/>
      <c r="F12" s="33"/>
    </row>
    <row r="13" spans="1:6" ht="48" customHeight="1">
      <c r="A13" s="8" t="s">
        <v>155</v>
      </c>
      <c r="B13" s="27" t="s">
        <v>281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IF(Obj_CS31[[#This Row],[Descripción]]="","",ROW()-ROW(Obj_CS31[[#Headers],[Objetivo]]))</f>
        <v/>
      </c>
      <c r="B17" s="11"/>
      <c r="C17" s="5"/>
      <c r="D17" s="5"/>
      <c r="E17" s="12"/>
      <c r="F17" s="12"/>
    </row>
    <row r="18" spans="1:6">
      <c r="A18" s="21" t="s">
        <v>470</v>
      </c>
      <c r="B18" s="18"/>
      <c r="C18" s="22"/>
      <c r="D18" s="22"/>
      <c r="E18" s="23">
        <f>SUBTOTAL(109,Obj_CS31[Tiempo estimado])</f>
        <v>0</v>
      </c>
      <c r="F18" s="23">
        <f>SUBTOTAL(109,Obj_CS31[Tiempo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65" priority="1">
      <formula>$B4="En progreso"</formula>
    </cfRule>
    <cfRule type="expression" dxfId="564" priority="2">
      <formula>$B4="En espera"</formula>
    </cfRule>
    <cfRule type="expression" dxfId="563" priority="3">
      <formula>$B4="Finalizada"</formula>
    </cfRule>
    <cfRule type="expression" dxfId="562" priority="4">
      <formula>$B4="Sin página"</formula>
    </cfRule>
  </conditionalFormatting>
  <conditionalFormatting sqref="B5">
    <cfRule type="expression" dxfId="561" priority="5">
      <formula>$B5="I"</formula>
    </cfRule>
    <cfRule type="expression" dxfId="560" priority="6">
      <formula>$B5="N"</formula>
    </cfRule>
    <cfRule type="expression" dxfId="559" priority="7">
      <formula>$B5="M"</formula>
    </cfRule>
  </conditionalFormatting>
  <conditionalFormatting sqref="B6">
    <cfRule type="expression" dxfId="558" priority="8">
      <formula>$B6="Bajo"</formula>
    </cfRule>
    <cfRule type="expression" dxfId="557" priority="9">
      <formula>$B6="Medio bajo"</formula>
    </cfRule>
    <cfRule type="expression" dxfId="556" priority="10">
      <formula>$B6="Medio"</formula>
    </cfRule>
    <cfRule type="expression" dxfId="555" priority="11">
      <formula>$B6="Alto"</formula>
    </cfRule>
    <cfRule type="expression" dxfId="554" priority="12">
      <formula>$B6="Muy alto"</formula>
    </cfRule>
  </conditionalFormatting>
  <conditionalFormatting sqref="C17:C316">
    <cfRule type="expression" dxfId="553" priority="13">
      <formula>$C17="Sí"</formula>
    </cfRule>
    <cfRule type="expression" dxfId="552" priority="14">
      <formula>$C17="No"</formula>
    </cfRule>
  </conditionalFormatting>
  <dataValidations count="3">
    <dataValidation type="list" allowBlank="1" showErrorMessage="1" errorTitle="Finalizado" error="Elige Sí o No." sqref="C17:C316" xr:uid="{00000000-0002-0000-1F00-000000000000}">
      <formula1>"Sí,No"</formula1>
    </dataValidation>
    <dataValidation type="list" errorStyle="warning" allowBlank="1" showErrorMessage="1" errorTitle="Responsable" error="Ese nombre no está en la lista. ¿Lo dejas igualmente?" sqref="D17:D316" xr:uid="{00000000-0002-0000-1F00-000001000000}">
      <formula1>"Joaquin,Matthew,Jorge,Flavia,Lucia,José"</formula1>
    </dataValidation>
    <dataValidation type="decimal" operator="greaterThanOrEqual" allowBlank="1" showErrorMessage="1" errorTitle="Tiempo" error="Escribe solo el número de minutos, por ejemplo 30." sqref="E17:F316" xr:uid="{00000000-0002-0000-1F00-000002000000}">
      <formula1>0</formula1>
    </dataValidation>
  </dataValidations>
  <hyperlinks>
    <hyperlink ref="F1" location="'Índice'!A1" tooltip="Volver al índice" xr:uid="{00000000-0004-0000-1F00-000000000000}"/>
  </hyperlinks>
  <pageMargins left="0.75" right="0.75" top="1" bottom="1" header="0.5" footer="0.5"/>
  <pageSetup fitToHeight="0" orientation="landscape"/>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CS-32 · VISTA DETALLADA DE EXPERIENCIA</v>
      </c>
      <c r="B1" s="32"/>
      <c r="C1" s="32"/>
      <c r="D1" s="32"/>
      <c r="E1" s="32"/>
      <c r="F1" s="7" t="s">
        <v>147</v>
      </c>
    </row>
    <row r="2" spans="1:6" ht="18" customHeight="1">
      <c r="A2" s="8" t="s">
        <v>3</v>
      </c>
      <c r="B2" s="30" t="s">
        <v>80</v>
      </c>
      <c r="C2" s="33"/>
      <c r="D2" s="33"/>
      <c r="E2" s="33"/>
      <c r="F2" s="33"/>
    </row>
    <row r="3" spans="1:6" ht="15" customHeight="1">
      <c r="A3" s="8" t="s">
        <v>4</v>
      </c>
      <c r="B3" s="29" t="str">
        <f>IFERROR(INDEX(Historias[Título],MATCH($B$2,Historias[Ref],0))&amp;"","")</f>
        <v>VISTA DETALLADA DE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8</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282</v>
      </c>
      <c r="C12" s="33"/>
      <c r="D12" s="33"/>
      <c r="E12" s="33"/>
      <c r="F12" s="33"/>
    </row>
    <row r="13" spans="1:6" ht="48" customHeight="1">
      <c r="A13" s="8" t="s">
        <v>155</v>
      </c>
      <c r="B13" s="27" t="s">
        <v>283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IF(Obj_CS32[[#This Row],[Descripción]]="","",ROW()-ROW(Obj_CS32[[#Headers],[Objetivo]]))</f>
        <v/>
      </c>
      <c r="B17" s="11"/>
      <c r="C17" s="5"/>
      <c r="D17" s="5"/>
      <c r="E17" s="12"/>
      <c r="F17" s="12"/>
    </row>
    <row r="18" spans="1:6">
      <c r="A18" s="21" t="s">
        <v>470</v>
      </c>
      <c r="B18" s="18"/>
      <c r="C18" s="22"/>
      <c r="D18" s="22"/>
      <c r="E18" s="23">
        <f>SUBTOTAL(109,Obj_CS32[Tiempo estimado])</f>
        <v>0</v>
      </c>
      <c r="F18" s="23">
        <f>SUBTOTAL(109,Obj_CS32[Tiempo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51" priority="1">
      <formula>$B4="En progreso"</formula>
    </cfRule>
    <cfRule type="expression" dxfId="550" priority="2">
      <formula>$B4="En espera"</formula>
    </cfRule>
    <cfRule type="expression" dxfId="549" priority="3">
      <formula>$B4="Finalizada"</formula>
    </cfRule>
    <cfRule type="expression" dxfId="548" priority="4">
      <formula>$B4="Sin página"</formula>
    </cfRule>
  </conditionalFormatting>
  <conditionalFormatting sqref="B5">
    <cfRule type="expression" dxfId="547" priority="5">
      <formula>$B5="I"</formula>
    </cfRule>
    <cfRule type="expression" dxfId="546" priority="6">
      <formula>$B5="N"</formula>
    </cfRule>
    <cfRule type="expression" dxfId="545" priority="7">
      <formula>$B5="M"</formula>
    </cfRule>
  </conditionalFormatting>
  <conditionalFormatting sqref="B6">
    <cfRule type="expression" dxfId="544" priority="8">
      <formula>$B6="Bajo"</formula>
    </cfRule>
    <cfRule type="expression" dxfId="543" priority="9">
      <formula>$B6="Medio bajo"</formula>
    </cfRule>
    <cfRule type="expression" dxfId="542" priority="10">
      <formula>$B6="Medio"</formula>
    </cfRule>
    <cfRule type="expression" dxfId="541" priority="11">
      <formula>$B6="Alto"</formula>
    </cfRule>
    <cfRule type="expression" dxfId="540" priority="12">
      <formula>$B6="Muy alto"</formula>
    </cfRule>
  </conditionalFormatting>
  <conditionalFormatting sqref="C17:C316">
    <cfRule type="expression" dxfId="539" priority="13">
      <formula>$C17="Sí"</formula>
    </cfRule>
    <cfRule type="expression" dxfId="538" priority="14">
      <formula>$C17="No"</formula>
    </cfRule>
  </conditionalFormatting>
  <dataValidations count="3">
    <dataValidation type="list" allowBlank="1" showErrorMessage="1" errorTitle="Finalizado" error="Elige Sí o No." sqref="C17:C316" xr:uid="{00000000-0002-0000-2000-000000000000}">
      <formula1>"Sí,No"</formula1>
    </dataValidation>
    <dataValidation type="list" errorStyle="warning" allowBlank="1" showErrorMessage="1" errorTitle="Responsable" error="Ese nombre no está en la lista. ¿Lo dejas igualmente?" sqref="D17:D316" xr:uid="{00000000-0002-0000-2000-000001000000}">
      <formula1>"Joaquin,Matthew,Jorge,Flavia,Lucia,José"</formula1>
    </dataValidation>
    <dataValidation type="decimal" operator="greaterThanOrEqual" allowBlank="1" showErrorMessage="1" errorTitle="Tiempo" error="Escribe solo el número de minutos, por ejemplo 30." sqref="E17:F316" xr:uid="{00000000-0002-0000-2000-000002000000}">
      <formula1>0</formula1>
    </dataValidation>
  </dataValidations>
  <hyperlinks>
    <hyperlink ref="F1" location="'Índice'!A1" tooltip="Volver al índice" xr:uid="{00000000-0004-0000-2000-000000000000}"/>
  </hyperlinks>
  <pageMargins left="0.75" right="0.75" top="1" bottom="1" header="0.5" footer="0.5"/>
  <pageSetup fitToHeight="0" orientation="landscape"/>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CS-33 · LIMPIAR BÚSQUEDA</v>
      </c>
      <c r="B1" s="32"/>
      <c r="C1" s="32"/>
      <c r="D1" s="32"/>
      <c r="E1" s="32"/>
      <c r="F1" s="7" t="s">
        <v>147</v>
      </c>
    </row>
    <row r="2" spans="1:6" ht="18" customHeight="1">
      <c r="A2" s="8" t="s">
        <v>3</v>
      </c>
      <c r="B2" s="30" t="s">
        <v>82</v>
      </c>
      <c r="C2" s="33"/>
      <c r="D2" s="33"/>
      <c r="E2" s="33"/>
      <c r="F2" s="33"/>
    </row>
    <row r="3" spans="1:6" ht="15" customHeight="1">
      <c r="A3" s="8" t="s">
        <v>4</v>
      </c>
      <c r="B3" s="29" t="str">
        <f>IFERROR(INDEX(Historias[Título],MATCH($B$2,Historias[Ref],0))&amp;"","")</f>
        <v>LIMPIAR BÚSQUEDA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284</v>
      </c>
      <c r="C12" s="33"/>
      <c r="D12" s="33"/>
      <c r="E12" s="33"/>
      <c r="F12" s="33"/>
    </row>
    <row r="13" spans="1:6" ht="78" customHeight="1">
      <c r="A13" s="8" t="s">
        <v>155</v>
      </c>
      <c r="B13" s="27" t="s">
        <v>285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IF(Obj_CS33[[#This Row],[Descripción]]="","",ROW()-ROW(Obj_CS33[[#Headers],[Objetivo]]))</f>
        <v/>
      </c>
      <c r="B17" s="11"/>
      <c r="C17" s="5"/>
      <c r="D17" s="5"/>
      <c r="E17" s="12"/>
      <c r="F17" s="12"/>
    </row>
    <row r="18" spans="1:6">
      <c r="A18" s="21" t="s">
        <v>470</v>
      </c>
      <c r="B18" s="18"/>
      <c r="C18" s="22"/>
      <c r="D18" s="22"/>
      <c r="E18" s="23">
        <f>SUBTOTAL(109,Obj_CS33[Tiempo estimado])</f>
        <v>0</v>
      </c>
      <c r="F18" s="23">
        <f>SUBTOTAL(109,Obj_CS33[Tiempo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37" priority="1">
      <formula>$B4="En progreso"</formula>
    </cfRule>
    <cfRule type="expression" dxfId="536" priority="2">
      <formula>$B4="En espera"</formula>
    </cfRule>
    <cfRule type="expression" dxfId="535" priority="3">
      <formula>$B4="Finalizada"</formula>
    </cfRule>
    <cfRule type="expression" dxfId="534" priority="4">
      <formula>$B4="Sin página"</formula>
    </cfRule>
  </conditionalFormatting>
  <conditionalFormatting sqref="B5">
    <cfRule type="expression" dxfId="533" priority="5">
      <formula>$B5="I"</formula>
    </cfRule>
    <cfRule type="expression" dxfId="532" priority="6">
      <formula>$B5="N"</formula>
    </cfRule>
    <cfRule type="expression" dxfId="531" priority="7">
      <formula>$B5="M"</formula>
    </cfRule>
  </conditionalFormatting>
  <conditionalFormatting sqref="B6">
    <cfRule type="expression" dxfId="530" priority="8">
      <formula>$B6="Bajo"</formula>
    </cfRule>
    <cfRule type="expression" dxfId="529" priority="9">
      <formula>$B6="Medio bajo"</formula>
    </cfRule>
    <cfRule type="expression" dxfId="528" priority="10">
      <formula>$B6="Medio"</formula>
    </cfRule>
    <cfRule type="expression" dxfId="527" priority="11">
      <formula>$B6="Alto"</formula>
    </cfRule>
    <cfRule type="expression" dxfId="526" priority="12">
      <formula>$B6="Muy alto"</formula>
    </cfRule>
  </conditionalFormatting>
  <conditionalFormatting sqref="C17:C316">
    <cfRule type="expression" dxfId="525" priority="13">
      <formula>$C17="Sí"</formula>
    </cfRule>
    <cfRule type="expression" dxfId="524" priority="14">
      <formula>$C17="No"</formula>
    </cfRule>
  </conditionalFormatting>
  <dataValidations count="3">
    <dataValidation type="list" allowBlank="1" showErrorMessage="1" errorTitle="Finalizado" error="Elige Sí o No." sqref="C17:C316" xr:uid="{00000000-0002-0000-2100-000000000000}">
      <formula1>"Sí,No"</formula1>
    </dataValidation>
    <dataValidation type="list" errorStyle="warning" allowBlank="1" showErrorMessage="1" errorTitle="Responsable" error="Ese nombre no está en la lista. ¿Lo dejas igualmente?" sqref="D17:D316" xr:uid="{00000000-0002-0000-2100-000001000000}">
      <formula1>"Joaquin,Matthew,Jorge,Flavia,Lucia,José"</formula1>
    </dataValidation>
    <dataValidation type="decimal" operator="greaterThanOrEqual" allowBlank="1" showErrorMessage="1" errorTitle="Tiempo" error="Escribe solo el número de minutos, por ejemplo 30." sqref="E17:F316" xr:uid="{00000000-0002-0000-2100-000002000000}">
      <formula1>0</formula1>
    </dataValidation>
  </dataValidations>
  <hyperlinks>
    <hyperlink ref="F1" location="'Índice'!A1" tooltip="Volver al índice" xr:uid="{00000000-0004-0000-2100-000000000000}"/>
  </hyperlinks>
  <pageMargins left="0.75" right="0.75" top="1" bottom="1" header="0.5" footer="0.5"/>
  <pageSetup fitToHeight="0" orientation="landscape"/>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CS-34 · ESTADOS DE “CARGA”, “SIN RESULTADOS” Y “ERROR”</v>
      </c>
      <c r="B1" s="32"/>
      <c r="C1" s="32"/>
      <c r="D1" s="32"/>
      <c r="E1" s="32"/>
      <c r="F1" s="7" t="s">
        <v>147</v>
      </c>
    </row>
    <row r="2" spans="1:6" ht="18" customHeight="1">
      <c r="A2" s="8" t="s">
        <v>3</v>
      </c>
      <c r="B2" s="30" t="s">
        <v>84</v>
      </c>
      <c r="C2" s="33"/>
      <c r="D2" s="33"/>
      <c r="E2" s="33"/>
      <c r="F2" s="33"/>
    </row>
    <row r="3" spans="1:6" ht="15" customHeight="1">
      <c r="A3" s="8" t="s">
        <v>4</v>
      </c>
      <c r="B3" s="29" t="str">
        <f>IFERROR(INDEX(Historias[Título],MATCH($B$2,Historias[Ref],0))&amp;"","")</f>
        <v>ESTADOS DE “CARGA”, “SIN RESULTADOS” Y “ERROR”</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286</v>
      </c>
      <c r="C12" s="33"/>
      <c r="D12" s="33"/>
      <c r="E12" s="33"/>
      <c r="F12" s="33"/>
    </row>
    <row r="13" spans="1:6" ht="78" customHeight="1">
      <c r="A13" s="8" t="s">
        <v>155</v>
      </c>
      <c r="B13" s="27" t="s">
        <v>287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IF(Obj_CS34[[#This Row],[Descripción]]="","",ROW()-ROW(Obj_CS34[[#Headers],[Objetivo]]))</f>
        <v/>
      </c>
      <c r="B17" s="11"/>
      <c r="C17" s="5"/>
      <c r="D17" s="5"/>
      <c r="E17" s="12"/>
      <c r="F17" s="12"/>
    </row>
    <row r="18" spans="1:6">
      <c r="A18" s="21" t="s">
        <v>470</v>
      </c>
      <c r="B18" s="18"/>
      <c r="C18" s="22"/>
      <c r="D18" s="22"/>
      <c r="E18" s="23">
        <f>SUBTOTAL(109,Obj_CS34[Tiempo estimado])</f>
        <v>0</v>
      </c>
      <c r="F18" s="23">
        <f>SUBTOTAL(109,Obj_CS34[Tiempo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23" priority="1">
      <formula>$B4="En progreso"</formula>
    </cfRule>
    <cfRule type="expression" dxfId="522" priority="2">
      <formula>$B4="En espera"</formula>
    </cfRule>
    <cfRule type="expression" dxfId="521" priority="3">
      <formula>$B4="Finalizada"</formula>
    </cfRule>
    <cfRule type="expression" dxfId="520" priority="4">
      <formula>$B4="Sin página"</formula>
    </cfRule>
  </conditionalFormatting>
  <conditionalFormatting sqref="B5">
    <cfRule type="expression" dxfId="519" priority="5">
      <formula>$B5="I"</formula>
    </cfRule>
    <cfRule type="expression" dxfId="518" priority="6">
      <formula>$B5="N"</formula>
    </cfRule>
    <cfRule type="expression" dxfId="517" priority="7">
      <formula>$B5="M"</formula>
    </cfRule>
  </conditionalFormatting>
  <conditionalFormatting sqref="B6">
    <cfRule type="expression" dxfId="516" priority="8">
      <formula>$B6="Bajo"</formula>
    </cfRule>
    <cfRule type="expression" dxfId="515" priority="9">
      <formula>$B6="Medio bajo"</formula>
    </cfRule>
    <cfRule type="expression" dxfId="514" priority="10">
      <formula>$B6="Medio"</formula>
    </cfRule>
    <cfRule type="expression" dxfId="513" priority="11">
      <formula>$B6="Alto"</formula>
    </cfRule>
    <cfRule type="expression" dxfId="512" priority="12">
      <formula>$B6="Muy alto"</formula>
    </cfRule>
  </conditionalFormatting>
  <conditionalFormatting sqref="C17:C316">
    <cfRule type="expression" dxfId="511" priority="13">
      <formula>$C17="Sí"</formula>
    </cfRule>
    <cfRule type="expression" dxfId="510" priority="14">
      <formula>$C17="No"</formula>
    </cfRule>
  </conditionalFormatting>
  <dataValidations count="3">
    <dataValidation type="list" allowBlank="1" showErrorMessage="1" errorTitle="Finalizado" error="Elige Sí o No." sqref="C17:C316" xr:uid="{00000000-0002-0000-2200-000000000000}">
      <formula1>"Sí,No"</formula1>
    </dataValidation>
    <dataValidation type="list" errorStyle="warning" allowBlank="1" showErrorMessage="1" errorTitle="Responsable" error="Ese nombre no está en la lista. ¿Lo dejas igualmente?" sqref="D17:D316" xr:uid="{00000000-0002-0000-2200-000001000000}">
      <formula1>"Joaquin,Matthew,Jorge,Flavia,Lucia,José"</formula1>
    </dataValidation>
    <dataValidation type="decimal" operator="greaterThanOrEqual" allowBlank="1" showErrorMessage="1" errorTitle="Tiempo" error="Escribe solo el número de minutos, por ejemplo 30." sqref="E17:F316" xr:uid="{00000000-0002-0000-2200-000002000000}">
      <formula1>0</formula1>
    </dataValidation>
  </dataValidations>
  <hyperlinks>
    <hyperlink ref="F1" location="'Índice'!A1" tooltip="Volver al índice" xr:uid="{00000000-0004-0000-2200-000000000000}"/>
  </hyperlinks>
  <pageMargins left="0.75" right="0.75" top="1" bottom="1" header="0.5" footer="0.5"/>
  <pageSetup fitToHeight="0" orientation="landscape"/>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CS-35 · CARGA DE RESULTADOS</v>
      </c>
      <c r="B1" s="32"/>
      <c r="C1" s="32"/>
      <c r="D1" s="32"/>
      <c r="E1" s="32"/>
      <c r="F1" s="7" t="s">
        <v>147</v>
      </c>
    </row>
    <row r="2" spans="1:6" ht="18" customHeight="1">
      <c r="A2" s="8" t="s">
        <v>3</v>
      </c>
      <c r="B2" s="30" t="s">
        <v>86</v>
      </c>
      <c r="C2" s="33"/>
      <c r="D2" s="33"/>
      <c r="E2" s="33"/>
      <c r="F2" s="33"/>
    </row>
    <row r="3" spans="1:6" ht="15" customHeight="1">
      <c r="A3" s="8" t="s">
        <v>4</v>
      </c>
      <c r="B3" s="29" t="str">
        <f>IFERROR(INDEX(Historias[Título],MATCH($B$2,Historias[Ref],0))&amp;"","")</f>
        <v>CARGA DE RESULTADOS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8</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288</v>
      </c>
      <c r="C12" s="33"/>
      <c r="D12" s="33"/>
      <c r="E12" s="33"/>
      <c r="F12" s="33"/>
    </row>
    <row r="13" spans="1:6" ht="63" customHeight="1">
      <c r="A13" s="8" t="s">
        <v>155</v>
      </c>
      <c r="B13" s="27" t="s">
        <v>289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IF(Obj_CS35[[#This Row],[Descripción]]="","",ROW()-ROW(Obj_CS35[[#Headers],[Objetivo]]))</f>
        <v/>
      </c>
      <c r="B17" s="11"/>
      <c r="C17" s="5"/>
      <c r="D17" s="5"/>
      <c r="E17" s="12"/>
      <c r="F17" s="12"/>
    </row>
    <row r="18" spans="1:6">
      <c r="A18" s="21" t="s">
        <v>470</v>
      </c>
      <c r="B18" s="18"/>
      <c r="C18" s="22"/>
      <c r="D18" s="22"/>
      <c r="E18" s="23">
        <f>SUBTOTAL(109,Obj_CS35[Tiempo estimado])</f>
        <v>0</v>
      </c>
      <c r="F18" s="23">
        <f>SUBTOTAL(109,Obj_CS35[Tiempo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509" priority="1">
      <formula>$B4="En progreso"</formula>
    </cfRule>
    <cfRule type="expression" dxfId="508" priority="2">
      <formula>$B4="En espera"</formula>
    </cfRule>
    <cfRule type="expression" dxfId="507" priority="3">
      <formula>$B4="Finalizada"</formula>
    </cfRule>
    <cfRule type="expression" dxfId="506" priority="4">
      <formula>$B4="Sin página"</formula>
    </cfRule>
  </conditionalFormatting>
  <conditionalFormatting sqref="B5">
    <cfRule type="expression" dxfId="505" priority="5">
      <formula>$B5="I"</formula>
    </cfRule>
    <cfRule type="expression" dxfId="504" priority="6">
      <formula>$B5="N"</formula>
    </cfRule>
    <cfRule type="expression" dxfId="503" priority="7">
      <formula>$B5="M"</formula>
    </cfRule>
  </conditionalFormatting>
  <conditionalFormatting sqref="B6">
    <cfRule type="expression" dxfId="502" priority="8">
      <formula>$B6="Bajo"</formula>
    </cfRule>
    <cfRule type="expression" dxfId="501" priority="9">
      <formula>$B6="Medio bajo"</formula>
    </cfRule>
    <cfRule type="expression" dxfId="500" priority="10">
      <formula>$B6="Medio"</formula>
    </cfRule>
    <cfRule type="expression" dxfId="499" priority="11">
      <formula>$B6="Alto"</formula>
    </cfRule>
    <cfRule type="expression" dxfId="498" priority="12">
      <formula>$B6="Muy alto"</formula>
    </cfRule>
  </conditionalFormatting>
  <conditionalFormatting sqref="C17:C316">
    <cfRule type="expression" dxfId="497" priority="13">
      <formula>$C17="Sí"</formula>
    </cfRule>
    <cfRule type="expression" dxfId="496" priority="14">
      <formula>$C17="No"</formula>
    </cfRule>
  </conditionalFormatting>
  <dataValidations count="3">
    <dataValidation type="list" allowBlank="1" showErrorMessage="1" errorTitle="Finalizado" error="Elige Sí o No." sqref="C17:C316" xr:uid="{00000000-0002-0000-2300-000000000000}">
      <formula1>"Sí,No"</formula1>
    </dataValidation>
    <dataValidation type="list" errorStyle="warning" allowBlank="1" showErrorMessage="1" errorTitle="Responsable" error="Ese nombre no está en la lista. ¿Lo dejas igualmente?" sqref="D17:D316" xr:uid="{00000000-0002-0000-2300-000001000000}">
      <formula1>"Joaquin,Matthew,Jorge,Flavia,Lucia,José"</formula1>
    </dataValidation>
    <dataValidation type="decimal" operator="greaterThanOrEqual" allowBlank="1" showErrorMessage="1" errorTitle="Tiempo" error="Escribe solo el número de minutos, por ejemplo 30." sqref="E17:F316" xr:uid="{00000000-0002-0000-2300-000002000000}">
      <formula1>0</formula1>
    </dataValidation>
  </dataValidations>
  <hyperlinks>
    <hyperlink ref="F1" location="'Índice'!A1" tooltip="Volver al índice" xr:uid="{00000000-0004-0000-2300-000000000000}"/>
  </hyperlinks>
  <pageMargins left="0.75" right="0.75" top="1" bottom="1" header="0.5" footer="0.5"/>
  <pageSetup fitToHeight="0" orientation="landscape"/>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CS-36 · ORDENACIÓN POR CERCANÍA</v>
      </c>
      <c r="B1" s="32"/>
      <c r="C1" s="32"/>
      <c r="D1" s="32"/>
      <c r="E1" s="32"/>
      <c r="F1" s="7" t="s">
        <v>147</v>
      </c>
    </row>
    <row r="2" spans="1:6" ht="18" customHeight="1">
      <c r="A2" s="8" t="s">
        <v>3</v>
      </c>
      <c r="B2" s="30" t="s">
        <v>88</v>
      </c>
      <c r="C2" s="33"/>
      <c r="D2" s="33"/>
      <c r="E2" s="33"/>
      <c r="F2" s="33"/>
    </row>
    <row r="3" spans="1:6" ht="15" customHeight="1">
      <c r="A3" s="8" t="s">
        <v>4</v>
      </c>
      <c r="B3" s="29" t="str">
        <f>IFERROR(INDEX(Historias[Título],MATCH($B$2,Historias[Ref],0))&amp;"","")</f>
        <v>ORDENACIÓN POR CERCANÍA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244</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290</v>
      </c>
      <c r="C12" s="33"/>
      <c r="D12" s="33"/>
      <c r="E12" s="33"/>
      <c r="F12" s="33"/>
    </row>
    <row r="13" spans="1:6" ht="78" customHeight="1">
      <c r="A13" s="8" t="s">
        <v>155</v>
      </c>
      <c r="B13" s="27" t="s">
        <v>291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IF(Obj_CS36[[#This Row],[Descripción]]="","",ROW()-ROW(Obj_CS36[[#Headers],[Objetivo]]))</f>
        <v/>
      </c>
      <c r="B17" s="11"/>
      <c r="C17" s="5"/>
      <c r="D17" s="5"/>
      <c r="E17" s="12"/>
      <c r="F17" s="12"/>
    </row>
    <row r="18" spans="1:6">
      <c r="A18" s="21" t="s">
        <v>470</v>
      </c>
      <c r="B18" s="18"/>
      <c r="C18" s="22"/>
      <c r="D18" s="22"/>
      <c r="E18" s="23">
        <f>SUBTOTAL(109,Obj_CS36[Tiempo estimado])</f>
        <v>0</v>
      </c>
      <c r="F18" s="23">
        <f>SUBTOTAL(109,Obj_CS36[Tiempo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95" priority="1">
      <formula>$B4="En progreso"</formula>
    </cfRule>
    <cfRule type="expression" dxfId="494" priority="2">
      <formula>$B4="En espera"</formula>
    </cfRule>
    <cfRule type="expression" dxfId="493" priority="3">
      <formula>$B4="Finalizada"</formula>
    </cfRule>
    <cfRule type="expression" dxfId="492" priority="4">
      <formula>$B4="Sin página"</formula>
    </cfRule>
  </conditionalFormatting>
  <conditionalFormatting sqref="B5">
    <cfRule type="expression" dxfId="491" priority="5">
      <formula>$B5="I"</formula>
    </cfRule>
    <cfRule type="expression" dxfId="490" priority="6">
      <formula>$B5="N"</formula>
    </cfRule>
    <cfRule type="expression" dxfId="489" priority="7">
      <formula>$B5="M"</formula>
    </cfRule>
  </conditionalFormatting>
  <conditionalFormatting sqref="B6">
    <cfRule type="expression" dxfId="488" priority="8">
      <formula>$B6="Bajo"</formula>
    </cfRule>
    <cfRule type="expression" dxfId="487" priority="9">
      <formula>$B6="Medio bajo"</formula>
    </cfRule>
    <cfRule type="expression" dxfId="486" priority="10">
      <formula>$B6="Medio"</formula>
    </cfRule>
    <cfRule type="expression" dxfId="485" priority="11">
      <formula>$B6="Alto"</formula>
    </cfRule>
    <cfRule type="expression" dxfId="484" priority="12">
      <formula>$B6="Muy alto"</formula>
    </cfRule>
  </conditionalFormatting>
  <conditionalFormatting sqref="C17:C316">
    <cfRule type="expression" dxfId="483" priority="13">
      <formula>$C17="Sí"</formula>
    </cfRule>
    <cfRule type="expression" dxfId="482" priority="14">
      <formula>$C17="No"</formula>
    </cfRule>
  </conditionalFormatting>
  <dataValidations count="3">
    <dataValidation type="list" allowBlank="1" showErrorMessage="1" errorTitle="Finalizado" error="Elige Sí o No." sqref="C17:C316" xr:uid="{00000000-0002-0000-2400-000000000000}">
      <formula1>"Sí,No"</formula1>
    </dataValidation>
    <dataValidation type="list" errorStyle="warning" allowBlank="1" showErrorMessage="1" errorTitle="Responsable" error="Ese nombre no está en la lista. ¿Lo dejas igualmente?" sqref="D17:D316" xr:uid="{00000000-0002-0000-2400-000001000000}">
      <formula1>"Joaquin,Matthew,Jorge,Flavia,Lucia,José"</formula1>
    </dataValidation>
    <dataValidation type="decimal" operator="greaterThanOrEqual" allowBlank="1" showErrorMessage="1" errorTitle="Tiempo" error="Escribe solo el número de minutos, por ejemplo 30." sqref="E17:F316" xr:uid="{00000000-0002-0000-2400-000002000000}">
      <formula1>0</formula1>
    </dataValidation>
  </dataValidations>
  <hyperlinks>
    <hyperlink ref="F1" location="'Índice'!A1" tooltip="Volver al índice" xr:uid="{00000000-0004-0000-2400-000000000000}"/>
  </hyperlinks>
  <pageMargins left="0.75" right="0.75" top="1" bottom="1" header="0.5" footer="0.5"/>
  <pageSetup fitToHeight="0" orientation="landscape"/>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CS-37 · Compartir una experiencia mediante un enlace</v>
      </c>
      <c r="B1" s="32"/>
      <c r="C1" s="32"/>
      <c r="D1" s="32"/>
      <c r="E1" s="32"/>
      <c r="F1" s="7" t="s">
        <v>147</v>
      </c>
    </row>
    <row r="2" spans="1:6" ht="18" customHeight="1">
      <c r="A2" s="8" t="s">
        <v>3</v>
      </c>
      <c r="B2" s="30" t="s">
        <v>90</v>
      </c>
      <c r="C2" s="33"/>
      <c r="D2" s="33"/>
      <c r="E2" s="33"/>
      <c r="F2" s="33"/>
    </row>
    <row r="3" spans="1:6" ht="15" customHeight="1">
      <c r="A3" s="8" t="s">
        <v>4</v>
      </c>
      <c r="B3" s="29" t="str">
        <f>IFERROR(INDEX(Historias[Título],MATCH($B$2,Historias[Ref],0))&amp;"","")</f>
        <v>Compartir una experiencia mediante un enlace</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293</v>
      </c>
      <c r="C11" s="33"/>
      <c r="D11" s="33"/>
      <c r="E11" s="33"/>
      <c r="F11" s="33"/>
    </row>
    <row r="12" spans="1:6" ht="45" customHeight="1">
      <c r="A12" s="8" t="s">
        <v>153</v>
      </c>
      <c r="B12" s="27" t="s">
        <v>294</v>
      </c>
      <c r="C12" s="33"/>
      <c r="D12" s="33"/>
      <c r="E12" s="33"/>
      <c r="F12" s="33"/>
    </row>
    <row r="13" spans="1:6" ht="45" customHeight="1">
      <c r="A13" s="8" t="s">
        <v>155</v>
      </c>
      <c r="B13" s="27" t="s">
        <v>295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IF(Obj_CS37[[#This Row],[Descripción]]="","",ROW()-ROW(Obj_CS37[[#Headers],[Objetivo]]))</f>
        <v/>
      </c>
      <c r="B17" s="11"/>
      <c r="C17" s="5"/>
      <c r="D17" s="5"/>
      <c r="E17" s="12"/>
      <c r="F17" s="12"/>
    </row>
    <row r="18" spans="1:6">
      <c r="A18" s="21" t="s">
        <v>470</v>
      </c>
      <c r="B18" s="18"/>
      <c r="C18" s="22"/>
      <c r="D18" s="22"/>
      <c r="E18" s="23">
        <f>SUBTOTAL(109,Obj_CS37[Tiempo estimado])</f>
        <v>0</v>
      </c>
      <c r="F18" s="23">
        <f>SUBTOTAL(109,Obj_CS37[Tiempo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81" priority="1">
      <formula>$B4="En progreso"</formula>
    </cfRule>
    <cfRule type="expression" dxfId="480" priority="2">
      <formula>$B4="En espera"</formula>
    </cfRule>
    <cfRule type="expression" dxfId="479" priority="3">
      <formula>$B4="Finalizada"</formula>
    </cfRule>
    <cfRule type="expression" dxfId="478" priority="4">
      <formula>$B4="Sin página"</formula>
    </cfRule>
  </conditionalFormatting>
  <conditionalFormatting sqref="B5">
    <cfRule type="expression" dxfId="477" priority="5">
      <formula>$B5="I"</formula>
    </cfRule>
    <cfRule type="expression" dxfId="476" priority="6">
      <formula>$B5="N"</formula>
    </cfRule>
    <cfRule type="expression" dxfId="475" priority="7">
      <formula>$B5="M"</formula>
    </cfRule>
  </conditionalFormatting>
  <conditionalFormatting sqref="B6">
    <cfRule type="expression" dxfId="474" priority="8">
      <formula>$B6="Bajo"</formula>
    </cfRule>
    <cfRule type="expression" dxfId="473" priority="9">
      <formula>$B6="Medio bajo"</formula>
    </cfRule>
    <cfRule type="expression" dxfId="472" priority="10">
      <formula>$B6="Medio"</formula>
    </cfRule>
    <cfRule type="expression" dxfId="471" priority="11">
      <formula>$B6="Alto"</formula>
    </cfRule>
    <cfRule type="expression" dxfId="470" priority="12">
      <formula>$B6="Muy alto"</formula>
    </cfRule>
  </conditionalFormatting>
  <conditionalFormatting sqref="C17:C316">
    <cfRule type="expression" dxfId="469" priority="13">
      <formula>$C17="Sí"</formula>
    </cfRule>
    <cfRule type="expression" dxfId="468" priority="14">
      <formula>$C17="No"</formula>
    </cfRule>
  </conditionalFormatting>
  <dataValidations count="3">
    <dataValidation type="list" allowBlank="1" showErrorMessage="1" errorTitle="Finalizado" error="Elige Sí o No." sqref="C17:C316" xr:uid="{00000000-0002-0000-2500-000000000000}">
      <formula1>"Sí,No"</formula1>
    </dataValidation>
    <dataValidation type="list" errorStyle="warning" allowBlank="1" showErrorMessage="1" errorTitle="Responsable" error="Ese nombre no está en la lista. ¿Lo dejas igualmente?" sqref="D17:D316" xr:uid="{00000000-0002-0000-2500-000001000000}">
      <formula1>"Joaquin,Matthew,Jorge,Flavia,Lucia,José"</formula1>
    </dataValidation>
    <dataValidation type="decimal" operator="greaterThanOrEqual" allowBlank="1" showErrorMessage="1" errorTitle="Tiempo" error="Escribe solo el número de minutos, por ejemplo 30." sqref="E17:F316" xr:uid="{00000000-0002-0000-2500-000002000000}">
      <formula1>0</formula1>
    </dataValidation>
  </dataValidations>
  <hyperlinks>
    <hyperlink ref="F1" location="'Índice'!A1" tooltip="Volver al índice" xr:uid="{00000000-0004-0000-2500-000000000000}"/>
  </hyperlinks>
  <pageMargins left="0.75" right="0.75" top="1" bottom="1" header="0.5" footer="0.5"/>
  <pageSetup fitToHeight="0" orientation="landscape"/>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CS-38 · Compartir mediante otras aplicaciones</v>
      </c>
      <c r="B1" s="32"/>
      <c r="C1" s="32"/>
      <c r="D1" s="32"/>
      <c r="E1" s="32"/>
      <c r="F1" s="7" t="s">
        <v>147</v>
      </c>
    </row>
    <row r="2" spans="1:6" ht="18" customHeight="1">
      <c r="A2" s="8" t="s">
        <v>3</v>
      </c>
      <c r="B2" s="30" t="s">
        <v>92</v>
      </c>
      <c r="C2" s="33"/>
      <c r="D2" s="33"/>
      <c r="E2" s="33"/>
      <c r="F2" s="33"/>
    </row>
    <row r="3" spans="1:6" ht="15" customHeight="1">
      <c r="A3" s="8" t="s">
        <v>4</v>
      </c>
      <c r="B3" s="29" t="str">
        <f>IFERROR(INDEX(Historias[Título],MATCH($B$2,Historias[Ref],0))&amp;"","")</f>
        <v>Compartir mediante otras aplicaciones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293</v>
      </c>
      <c r="C11" s="33"/>
      <c r="D11" s="33"/>
      <c r="E11" s="33"/>
      <c r="F11" s="33"/>
    </row>
    <row r="12" spans="1:6" ht="45" customHeight="1">
      <c r="A12" s="8" t="s">
        <v>153</v>
      </c>
      <c r="B12" s="27" t="s">
        <v>296</v>
      </c>
      <c r="C12" s="33"/>
      <c r="D12" s="33"/>
      <c r="E12" s="33"/>
      <c r="F12" s="33"/>
    </row>
    <row r="13" spans="1:6" ht="45" customHeight="1">
      <c r="A13" s="8" t="s">
        <v>155</v>
      </c>
      <c r="B13" s="27" t="s">
        <v>297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IF(Obj_CS38[[#This Row],[Descripción]]="","",ROW()-ROW(Obj_CS38[[#Headers],[Objetivo]]))</f>
        <v/>
      </c>
      <c r="B17" s="11"/>
      <c r="C17" s="5"/>
      <c r="D17" s="5"/>
      <c r="E17" s="12"/>
      <c r="F17" s="12"/>
    </row>
    <row r="18" spans="1:6">
      <c r="A18" s="21" t="s">
        <v>470</v>
      </c>
      <c r="B18" s="18"/>
      <c r="C18" s="22"/>
      <c r="D18" s="22"/>
      <c r="E18" s="23">
        <f>SUBTOTAL(109,Obj_CS38[Tiempo estimado])</f>
        <v>0</v>
      </c>
      <c r="F18" s="23">
        <f>SUBTOTAL(109,Obj_CS38[Tiempo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67" priority="1">
      <formula>$B4="En progreso"</formula>
    </cfRule>
    <cfRule type="expression" dxfId="466" priority="2">
      <formula>$B4="En espera"</formula>
    </cfRule>
    <cfRule type="expression" dxfId="465" priority="3">
      <formula>$B4="Finalizada"</formula>
    </cfRule>
    <cfRule type="expression" dxfId="464" priority="4">
      <formula>$B4="Sin página"</formula>
    </cfRule>
  </conditionalFormatting>
  <conditionalFormatting sqref="B5">
    <cfRule type="expression" dxfId="463" priority="5">
      <formula>$B5="I"</formula>
    </cfRule>
    <cfRule type="expression" dxfId="462" priority="6">
      <formula>$B5="N"</formula>
    </cfRule>
    <cfRule type="expression" dxfId="461" priority="7">
      <formula>$B5="M"</formula>
    </cfRule>
  </conditionalFormatting>
  <conditionalFormatting sqref="B6">
    <cfRule type="expression" dxfId="460" priority="8">
      <formula>$B6="Bajo"</formula>
    </cfRule>
    <cfRule type="expression" dxfId="459" priority="9">
      <formula>$B6="Medio bajo"</formula>
    </cfRule>
    <cfRule type="expression" dxfId="458" priority="10">
      <formula>$B6="Medio"</formula>
    </cfRule>
    <cfRule type="expression" dxfId="457" priority="11">
      <formula>$B6="Alto"</formula>
    </cfRule>
    <cfRule type="expression" dxfId="456" priority="12">
      <formula>$B6="Muy alto"</formula>
    </cfRule>
  </conditionalFormatting>
  <conditionalFormatting sqref="C17:C316">
    <cfRule type="expression" dxfId="455" priority="13">
      <formula>$C17="Sí"</formula>
    </cfRule>
    <cfRule type="expression" dxfId="454" priority="14">
      <formula>$C17="No"</formula>
    </cfRule>
  </conditionalFormatting>
  <dataValidations count="3">
    <dataValidation type="list" allowBlank="1" showErrorMessage="1" errorTitle="Finalizado" error="Elige Sí o No." sqref="C17:C316" xr:uid="{00000000-0002-0000-2600-000000000000}">
      <formula1>"Sí,No"</formula1>
    </dataValidation>
    <dataValidation type="list" errorStyle="warning" allowBlank="1" showErrorMessage="1" errorTitle="Responsable" error="Ese nombre no está en la lista. ¿Lo dejas igualmente?" sqref="D17:D316" xr:uid="{00000000-0002-0000-2600-000001000000}">
      <formula1>"Joaquin,Matthew,Jorge,Flavia,Lucia,José"</formula1>
    </dataValidation>
    <dataValidation type="decimal" operator="greaterThanOrEqual" allowBlank="1" showErrorMessage="1" errorTitle="Tiempo" error="Escribe solo el número de minutos, por ejemplo 30." sqref="E17:F316" xr:uid="{00000000-0002-0000-2600-000002000000}">
      <formula1>0</formula1>
    </dataValidation>
  </dataValidations>
  <hyperlinks>
    <hyperlink ref="F1" location="'Índice'!A1" tooltip="Volver al índice" xr:uid="{00000000-0004-0000-2600-000000000000}"/>
  </hyperlinks>
  <pageMargins left="0.75" right="0.75" top="1" bottom="1" header="0.5" footer="0.5"/>
  <pageSetup fitToHeight="0" orientation="landscape"/>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CS-39 · Recomendaciones según la ciudad</v>
      </c>
      <c r="B1" s="32"/>
      <c r="C1" s="32"/>
      <c r="D1" s="32"/>
      <c r="E1" s="32"/>
      <c r="F1" s="7" t="s">
        <v>147</v>
      </c>
    </row>
    <row r="2" spans="1:6" ht="18" customHeight="1">
      <c r="A2" s="8" t="s">
        <v>3</v>
      </c>
      <c r="B2" s="30" t="s">
        <v>94</v>
      </c>
      <c r="C2" s="33"/>
      <c r="D2" s="33"/>
      <c r="E2" s="33"/>
      <c r="F2" s="33"/>
    </row>
    <row r="3" spans="1:6" ht="15" customHeight="1">
      <c r="A3" s="8" t="s">
        <v>4</v>
      </c>
      <c r="B3" s="29" t="str">
        <f>IFERROR(INDEX(Historias[Título],MATCH($B$2,Historias[Ref],0))&amp;"","")</f>
        <v>Recomendaciones según la ciudad</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299</v>
      </c>
      <c r="C12" s="33"/>
      <c r="D12" s="33"/>
      <c r="E12" s="33"/>
      <c r="F12" s="33"/>
    </row>
    <row r="13" spans="1:6" ht="45" customHeight="1">
      <c r="A13" s="8" t="s">
        <v>155</v>
      </c>
      <c r="B13" s="27" t="s">
        <v>300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IF(Obj_CS39[[#This Row],[Descripción]]="","",ROW()-ROW(Obj_CS39[[#Headers],[Objetivo]]))</f>
        <v/>
      </c>
      <c r="B17" s="11"/>
      <c r="C17" s="5"/>
      <c r="D17" s="5"/>
      <c r="E17" s="12"/>
      <c r="F17" s="12"/>
    </row>
    <row r="18" spans="1:6">
      <c r="A18" s="21" t="s">
        <v>470</v>
      </c>
      <c r="B18" s="18"/>
      <c r="C18" s="22"/>
      <c r="D18" s="22"/>
      <c r="E18" s="23">
        <f>SUBTOTAL(109,Obj_CS39[Tiempo estimado])</f>
        <v>0</v>
      </c>
      <c r="F18" s="23">
        <f>SUBTOTAL(109,Obj_CS39[Tiempo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53" priority="1">
      <formula>$B4="En progreso"</formula>
    </cfRule>
    <cfRule type="expression" dxfId="452" priority="2">
      <formula>$B4="En espera"</formula>
    </cfRule>
    <cfRule type="expression" dxfId="451" priority="3">
      <formula>$B4="Finalizada"</formula>
    </cfRule>
    <cfRule type="expression" dxfId="450" priority="4">
      <formula>$B4="Sin página"</formula>
    </cfRule>
  </conditionalFormatting>
  <conditionalFormatting sqref="B5">
    <cfRule type="expression" dxfId="449" priority="5">
      <formula>$B5="I"</formula>
    </cfRule>
    <cfRule type="expression" dxfId="448" priority="6">
      <formula>$B5="N"</formula>
    </cfRule>
    <cfRule type="expression" dxfId="447" priority="7">
      <formula>$B5="M"</formula>
    </cfRule>
  </conditionalFormatting>
  <conditionalFormatting sqref="B6">
    <cfRule type="expression" dxfId="446" priority="8">
      <formula>$B6="Bajo"</formula>
    </cfRule>
    <cfRule type="expression" dxfId="445" priority="9">
      <formula>$B6="Medio bajo"</formula>
    </cfRule>
    <cfRule type="expression" dxfId="444" priority="10">
      <formula>$B6="Medio"</formula>
    </cfRule>
    <cfRule type="expression" dxfId="443" priority="11">
      <formula>$B6="Alto"</formula>
    </cfRule>
    <cfRule type="expression" dxfId="442" priority="12">
      <formula>$B6="Muy alto"</formula>
    </cfRule>
  </conditionalFormatting>
  <conditionalFormatting sqref="C17:C316">
    <cfRule type="expression" dxfId="441" priority="13">
      <formula>$C17="Sí"</formula>
    </cfRule>
    <cfRule type="expression" dxfId="440" priority="14">
      <formula>$C17="No"</formula>
    </cfRule>
  </conditionalFormatting>
  <dataValidations count="3">
    <dataValidation type="list" allowBlank="1" showErrorMessage="1" errorTitle="Finalizado" error="Elige Sí o No." sqref="C17:C316" xr:uid="{00000000-0002-0000-2700-000000000000}">
      <formula1>"Sí,No"</formula1>
    </dataValidation>
    <dataValidation type="list" errorStyle="warning" allowBlank="1" showErrorMessage="1" errorTitle="Responsable" error="Ese nombre no está en la lista. ¿Lo dejas igualmente?" sqref="D17:D316" xr:uid="{00000000-0002-0000-2700-000001000000}">
      <formula1>"Joaquin,Matthew,Jorge,Flavia,Lucia,José"</formula1>
    </dataValidation>
    <dataValidation type="decimal" operator="greaterThanOrEqual" allowBlank="1" showErrorMessage="1" errorTitle="Tiempo" error="Escribe solo el número de minutos, por ejemplo 30." sqref="E17:F316" xr:uid="{00000000-0002-0000-2700-000002000000}">
      <formula1>0</formula1>
    </dataValidation>
  </dataValidations>
  <hyperlinks>
    <hyperlink ref="F1" location="'Índice'!A1" tooltip="Volver al índice" xr:uid="{00000000-0004-0000-2700-000000000000}"/>
  </hyperlinks>
  <pageMargins left="0.75" right="0.75" top="1" bottom="1" header="0.5" footer="0.5"/>
  <pageSetup fitToHeight="0" orientation="landscape"/>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CS-40 · Recomendaciones según mis gustos</v>
      </c>
      <c r="B1" s="32"/>
      <c r="C1" s="32"/>
      <c r="D1" s="32"/>
      <c r="E1" s="32"/>
      <c r="F1" s="7" t="s">
        <v>147</v>
      </c>
    </row>
    <row r="2" spans="1:6" ht="18" customHeight="1">
      <c r="A2" s="8" t="s">
        <v>3</v>
      </c>
      <c r="B2" s="30" t="s">
        <v>96</v>
      </c>
      <c r="C2" s="33"/>
      <c r="D2" s="33"/>
      <c r="E2" s="33"/>
      <c r="F2" s="33"/>
    </row>
    <row r="3" spans="1:6" ht="15" customHeight="1">
      <c r="A3" s="8" t="s">
        <v>4</v>
      </c>
      <c r="B3" s="29" t="str">
        <f>IFERROR(INDEX(Historias[Título],MATCH($B$2,Historias[Ref],0))&amp;"","")</f>
        <v>Recomendaciones según mis gustos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301</v>
      </c>
      <c r="C12" s="33"/>
      <c r="D12" s="33"/>
      <c r="E12" s="33"/>
      <c r="F12" s="33"/>
    </row>
    <row r="13" spans="1:6" ht="45" customHeight="1">
      <c r="A13" s="8" t="s">
        <v>155</v>
      </c>
      <c r="B13" s="27" t="s">
        <v>302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IF(Obj_CS40[[#This Row],[Descripción]]="","",ROW()-ROW(Obj_CS40[[#Headers],[Objetivo]]))</f>
        <v/>
      </c>
      <c r="B17" s="11"/>
      <c r="C17" s="5"/>
      <c r="D17" s="5"/>
      <c r="E17" s="12"/>
      <c r="F17" s="12"/>
    </row>
    <row r="18" spans="1:6">
      <c r="A18" s="21" t="s">
        <v>470</v>
      </c>
      <c r="B18" s="18"/>
      <c r="C18" s="22"/>
      <c r="D18" s="22"/>
      <c r="E18" s="23">
        <f>SUBTOTAL(109,Obj_CS40[Tiempo estimado])</f>
        <v>0</v>
      </c>
      <c r="F18" s="23">
        <f>SUBTOTAL(109,Obj_CS40[Tiempo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39" priority="1">
      <formula>$B4="En progreso"</formula>
    </cfRule>
    <cfRule type="expression" dxfId="438" priority="2">
      <formula>$B4="En espera"</formula>
    </cfRule>
    <cfRule type="expression" dxfId="437" priority="3">
      <formula>$B4="Finalizada"</formula>
    </cfRule>
    <cfRule type="expression" dxfId="436" priority="4">
      <formula>$B4="Sin página"</formula>
    </cfRule>
  </conditionalFormatting>
  <conditionalFormatting sqref="B5">
    <cfRule type="expression" dxfId="435" priority="5">
      <formula>$B5="I"</formula>
    </cfRule>
    <cfRule type="expression" dxfId="434" priority="6">
      <formula>$B5="N"</formula>
    </cfRule>
    <cfRule type="expression" dxfId="433" priority="7">
      <formula>$B5="M"</formula>
    </cfRule>
  </conditionalFormatting>
  <conditionalFormatting sqref="B6">
    <cfRule type="expression" dxfId="432" priority="8">
      <formula>$B6="Bajo"</formula>
    </cfRule>
    <cfRule type="expression" dxfId="431" priority="9">
      <formula>$B6="Medio bajo"</formula>
    </cfRule>
    <cfRule type="expression" dxfId="430" priority="10">
      <formula>$B6="Medio"</formula>
    </cfRule>
    <cfRule type="expression" dxfId="429" priority="11">
      <formula>$B6="Alto"</formula>
    </cfRule>
    <cfRule type="expression" dxfId="428" priority="12">
      <formula>$B6="Muy alto"</formula>
    </cfRule>
  </conditionalFormatting>
  <conditionalFormatting sqref="C17:C316">
    <cfRule type="expression" dxfId="427" priority="13">
      <formula>$C17="Sí"</formula>
    </cfRule>
    <cfRule type="expression" dxfId="426" priority="14">
      <formula>$C17="No"</formula>
    </cfRule>
  </conditionalFormatting>
  <dataValidations count="3">
    <dataValidation type="list" allowBlank="1" showErrorMessage="1" errorTitle="Finalizado" error="Elige Sí o No." sqref="C17:C316" xr:uid="{00000000-0002-0000-2800-000000000000}">
      <formula1>"Sí,No"</formula1>
    </dataValidation>
    <dataValidation type="list" errorStyle="warning" allowBlank="1" showErrorMessage="1" errorTitle="Responsable" error="Ese nombre no está en la lista. ¿Lo dejas igualmente?" sqref="D17:D316" xr:uid="{00000000-0002-0000-2800-000001000000}">
      <formula1>"Joaquin,Matthew,Jorge,Flavia,Lucia,José"</formula1>
    </dataValidation>
    <dataValidation type="decimal" operator="greaterThanOrEqual" allowBlank="1" showErrorMessage="1" errorTitle="Tiempo" error="Escribe solo el número de minutos, por ejemplo 30." sqref="E17:F316" xr:uid="{00000000-0002-0000-2800-000002000000}">
      <formula1>0</formula1>
    </dataValidation>
  </dataValidations>
  <hyperlinks>
    <hyperlink ref="F1" location="'Índice'!A1" tooltip="Volver al índice" xr:uid="{00000000-0004-0000-2800-000000000000}"/>
  </hyperlinks>
  <pageMargins left="0.75" right="0.75" top="1" bottom="1" header="0.5" footer="0.5"/>
  <pageSetup fitToHeight="0" orientation="landscape"/>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CS-41 · Experiencias similares a las guardadas</v>
      </c>
      <c r="B1" s="32"/>
      <c r="C1" s="32"/>
      <c r="D1" s="32"/>
      <c r="E1" s="32"/>
      <c r="F1" s="7" t="s">
        <v>147</v>
      </c>
    </row>
    <row r="2" spans="1:6" ht="18" customHeight="1">
      <c r="A2" s="8" t="s">
        <v>3</v>
      </c>
      <c r="B2" s="30" t="s">
        <v>98</v>
      </c>
      <c r="C2" s="33"/>
      <c r="D2" s="33"/>
      <c r="E2" s="33"/>
      <c r="F2" s="33"/>
    </row>
    <row r="3" spans="1:6" ht="15" customHeight="1">
      <c r="A3" s="8" t="s">
        <v>4</v>
      </c>
      <c r="B3" s="29" t="str">
        <f>IFERROR(INDEX(Historias[Título],MATCH($B$2,Historias[Ref],0))&amp;"","")</f>
        <v>Experiencias similares a las guardadas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303</v>
      </c>
      <c r="C12" s="33"/>
      <c r="D12" s="33"/>
      <c r="E12" s="33"/>
      <c r="F12" s="33"/>
    </row>
    <row r="13" spans="1:6" ht="45" customHeight="1">
      <c r="A13" s="8" t="s">
        <v>155</v>
      </c>
      <c r="B13" s="27" t="s">
        <v>304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IF(Obj_CS41[[#This Row],[Descripción]]="","",ROW()-ROW(Obj_CS41[[#Headers],[Objetivo]]))</f>
        <v/>
      </c>
      <c r="B17" s="11"/>
      <c r="C17" s="5"/>
      <c r="D17" s="5"/>
      <c r="E17" s="12"/>
      <c r="F17" s="12"/>
    </row>
    <row r="18" spans="1:6">
      <c r="A18" s="21" t="s">
        <v>470</v>
      </c>
      <c r="B18" s="18"/>
      <c r="C18" s="22"/>
      <c r="D18" s="22"/>
      <c r="E18" s="23">
        <f>SUBTOTAL(109,Obj_CS41[Tiempo estimado])</f>
        <v>0</v>
      </c>
      <c r="F18" s="23">
        <f>SUBTOTAL(109,Obj_CS41[Tiempo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25" priority="1">
      <formula>$B4="En progreso"</formula>
    </cfRule>
    <cfRule type="expression" dxfId="424" priority="2">
      <formula>$B4="En espera"</formula>
    </cfRule>
    <cfRule type="expression" dxfId="423" priority="3">
      <formula>$B4="Finalizada"</formula>
    </cfRule>
    <cfRule type="expression" dxfId="422" priority="4">
      <formula>$B4="Sin página"</formula>
    </cfRule>
  </conditionalFormatting>
  <conditionalFormatting sqref="B5">
    <cfRule type="expression" dxfId="421" priority="5">
      <formula>$B5="I"</formula>
    </cfRule>
    <cfRule type="expression" dxfId="420" priority="6">
      <formula>$B5="N"</formula>
    </cfRule>
    <cfRule type="expression" dxfId="419" priority="7">
      <formula>$B5="M"</formula>
    </cfRule>
  </conditionalFormatting>
  <conditionalFormatting sqref="B6">
    <cfRule type="expression" dxfId="418" priority="8">
      <formula>$B6="Bajo"</formula>
    </cfRule>
    <cfRule type="expression" dxfId="417" priority="9">
      <formula>$B6="Medio bajo"</formula>
    </cfRule>
    <cfRule type="expression" dxfId="416" priority="10">
      <formula>$B6="Medio"</formula>
    </cfRule>
    <cfRule type="expression" dxfId="415" priority="11">
      <formula>$B6="Alto"</formula>
    </cfRule>
    <cfRule type="expression" dxfId="414" priority="12">
      <formula>$B6="Muy alto"</formula>
    </cfRule>
  </conditionalFormatting>
  <conditionalFormatting sqref="C17:C316">
    <cfRule type="expression" dxfId="413" priority="13">
      <formula>$C17="Sí"</formula>
    </cfRule>
    <cfRule type="expression" dxfId="412" priority="14">
      <formula>$C17="No"</formula>
    </cfRule>
  </conditionalFormatting>
  <dataValidations count="3">
    <dataValidation type="list" allowBlank="1" showErrorMessage="1" errorTitle="Finalizado" error="Elige Sí o No." sqref="C17:C316" xr:uid="{00000000-0002-0000-2900-000000000000}">
      <formula1>"Sí,No"</formula1>
    </dataValidation>
    <dataValidation type="list" errorStyle="warning" allowBlank="1" showErrorMessage="1" errorTitle="Responsable" error="Ese nombre no está en la lista. ¿Lo dejas igualmente?" sqref="D17:D316" xr:uid="{00000000-0002-0000-2900-000001000000}">
      <formula1>"Joaquin,Matthew,Jorge,Flavia,Lucia,José"</formula1>
    </dataValidation>
    <dataValidation type="decimal" operator="greaterThanOrEqual" allowBlank="1" showErrorMessage="1" errorTitle="Tiempo" error="Escribe solo el número de minutos, por ejemplo 30." sqref="E17:F316" xr:uid="{00000000-0002-0000-2900-000002000000}">
      <formula1>0</formula1>
    </dataValidation>
  </dataValidations>
  <hyperlinks>
    <hyperlink ref="F1" location="'Índice'!A1" tooltip="Volver al índice" xr:uid="{00000000-0004-0000-2900-000000000000}"/>
  </hyperlinks>
  <pageMargins left="0.75" right="0.75" top="1" bottom="1" header="0.5" footer="0.5"/>
  <pageSetup fitToHeight="0" orientation="landscape"/>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CS-42 · Recomendaciones según mis valoraciones</v>
      </c>
      <c r="B1" s="32"/>
      <c r="C1" s="32"/>
      <c r="D1" s="32"/>
      <c r="E1" s="32"/>
      <c r="F1" s="7" t="s">
        <v>147</v>
      </c>
    </row>
    <row r="2" spans="1:6" ht="18" customHeight="1">
      <c r="A2" s="8" t="s">
        <v>3</v>
      </c>
      <c r="B2" s="30" t="s">
        <v>100</v>
      </c>
      <c r="C2" s="33"/>
      <c r="D2" s="33"/>
      <c r="E2" s="33"/>
      <c r="F2" s="33"/>
    </row>
    <row r="3" spans="1:6" ht="15" customHeight="1">
      <c r="A3" s="8" t="s">
        <v>4</v>
      </c>
      <c r="B3" s="29" t="str">
        <f>IFERROR(INDEX(Historias[Título],MATCH($B$2,Historias[Ref],0))&amp;"","")</f>
        <v>Recomendaciones según mis valoraciones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10</v>
      </c>
      <c r="C7" s="33"/>
      <c r="D7" s="33"/>
      <c r="E7" s="33"/>
      <c r="F7" s="33"/>
    </row>
    <row r="8" spans="1:6" ht="15" customHeight="1">
      <c r="A8" s="8" t="s">
        <v>8</v>
      </c>
      <c r="B8" s="26">
        <f>SUMIFS(F:F,A:A,"&gt;0")/60</f>
        <v>0.0</v>
      </c>
      <c r="C8" s="33"/>
      <c r="D8" s="33"/>
      <c r="E8" s="33"/>
      <c r="F8" s="33"/>
    </row>
    <row r="9" spans="1:6" ht="18" customHeight="1">
      <c r="A9" s="8" t="s">
        <v>148</v>
      </c>
      <c r="B9" s="27" t="s">
        <v>292</v>
      </c>
      <c r="C9" s="33"/>
      <c r="D9" s="33"/>
      <c r="E9" s="33"/>
      <c r="F9" s="33"/>
    </row>
    <row r="10" spans="1:6" ht="15" customHeight="1">
      <c r="A10" s="8" t="s">
        <v>150</v>
      </c>
      <c r="B10" s="28"/>
      <c r="C10" s="33"/>
      <c r="D10" s="33"/>
      <c r="E10" s="33"/>
      <c r="F10" s="33"/>
    </row>
    <row r="11" spans="1:6" ht="18" customHeight="1">
      <c r="A11" s="8" t="s">
        <v>151</v>
      </c>
      <c r="B11" s="27" t="s">
        <v>298</v>
      </c>
      <c r="C11" s="33"/>
      <c r="D11" s="33"/>
      <c r="E11" s="33"/>
      <c r="F11" s="33"/>
    </row>
    <row r="12" spans="1:6" ht="45" customHeight="1">
      <c r="A12" s="8" t="s">
        <v>153</v>
      </c>
      <c r="B12" s="27" t="s">
        <v>305</v>
      </c>
      <c r="C12" s="33"/>
      <c r="D12" s="33"/>
      <c r="E12" s="33"/>
      <c r="F12" s="33"/>
    </row>
    <row r="13" spans="1:6" ht="45" customHeight="1">
      <c r="A13" s="8" t="s">
        <v>155</v>
      </c>
      <c r="B13" s="27" t="s">
        <v>306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IF(Obj_CS42[[#This Row],[Descripción]]="","",ROW()-ROW(Obj_CS42[[#Headers],[Objetivo]]))</f>
        <v/>
      </c>
      <c r="B17" s="11"/>
      <c r="C17" s="5"/>
      <c r="D17" s="5"/>
      <c r="E17" s="12"/>
      <c r="F17" s="12"/>
    </row>
    <row r="18" spans="1:6">
      <c r="A18" s="21" t="s">
        <v>470</v>
      </c>
      <c r="B18" s="18"/>
      <c r="C18" s="22"/>
      <c r="D18" s="22"/>
      <c r="E18" s="23">
        <f>SUBTOTAL(109,Obj_CS42[Tiempo estimado])</f>
        <v>0</v>
      </c>
      <c r="F18" s="23">
        <f>SUBTOTAL(109,Obj_CS42[Tiempo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11" priority="1">
      <formula>$B4="En progreso"</formula>
    </cfRule>
    <cfRule type="expression" dxfId="410" priority="2">
      <formula>$B4="En espera"</formula>
    </cfRule>
    <cfRule type="expression" dxfId="409" priority="3">
      <formula>$B4="Finalizada"</formula>
    </cfRule>
    <cfRule type="expression" dxfId="408" priority="4">
      <formula>$B4="Sin página"</formula>
    </cfRule>
  </conditionalFormatting>
  <conditionalFormatting sqref="B5">
    <cfRule type="expression" dxfId="407" priority="5">
      <formula>$B5="I"</formula>
    </cfRule>
    <cfRule type="expression" dxfId="406" priority="6">
      <formula>$B5="N"</formula>
    </cfRule>
    <cfRule type="expression" dxfId="405" priority="7">
      <formula>$B5="M"</formula>
    </cfRule>
  </conditionalFormatting>
  <conditionalFormatting sqref="B6">
    <cfRule type="expression" dxfId="404" priority="8">
      <formula>$B6="Bajo"</formula>
    </cfRule>
    <cfRule type="expression" dxfId="403" priority="9">
      <formula>$B6="Medio bajo"</formula>
    </cfRule>
    <cfRule type="expression" dxfId="402" priority="10">
      <formula>$B6="Medio"</formula>
    </cfRule>
    <cfRule type="expression" dxfId="401" priority="11">
      <formula>$B6="Alto"</formula>
    </cfRule>
    <cfRule type="expression" dxfId="400" priority="12">
      <formula>$B6="Muy alto"</formula>
    </cfRule>
  </conditionalFormatting>
  <conditionalFormatting sqref="C17:C316">
    <cfRule type="expression" dxfId="399" priority="13">
      <formula>$C17="Sí"</formula>
    </cfRule>
    <cfRule type="expression" dxfId="398" priority="14">
      <formula>$C17="No"</formula>
    </cfRule>
  </conditionalFormatting>
  <dataValidations count="3">
    <dataValidation type="list" allowBlank="1" showErrorMessage="1" errorTitle="Finalizado" error="Elige Sí o No." sqref="C17:C316" xr:uid="{00000000-0002-0000-2A00-000000000000}">
      <formula1>"Sí,No"</formula1>
    </dataValidation>
    <dataValidation type="list" errorStyle="warning" allowBlank="1" showErrorMessage="1" errorTitle="Responsable" error="Ese nombre no está en la lista. ¿Lo dejas igualmente?" sqref="D17:D316" xr:uid="{00000000-0002-0000-2A00-000001000000}">
      <formula1>"Joaquin,Matthew,Jorge,Flavia,Lucia,José"</formula1>
    </dataValidation>
    <dataValidation type="decimal" operator="greaterThanOrEqual" allowBlank="1" showErrorMessage="1" errorTitle="Tiempo" error="Escribe solo el número de minutos, por ejemplo 30." sqref="E17:F316" xr:uid="{00000000-0002-0000-2A00-000002000000}">
      <formula1>0</formula1>
    </dataValidation>
  </dataValidations>
  <hyperlinks>
    <hyperlink ref="F1" location="'Índice'!A1" tooltip="Volver al índice" xr:uid="{00000000-0004-0000-2A00-000000000000}"/>
  </hyperlinks>
  <pageMargins left="0.75" right="0.75" top="1" bottom="1" header="0.5" footer="0.5"/>
  <pageSetup fitToHeight="0" orientation="landscape"/>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CS-43 · MIS GUARDADOS</v>
      </c>
      <c r="B1" s="32"/>
      <c r="C1" s="32"/>
      <c r="D1" s="32"/>
      <c r="E1" s="32"/>
      <c r="F1" s="7" t="s">
        <v>147</v>
      </c>
    </row>
    <row r="2" spans="1:6" ht="18" customHeight="1">
      <c r="A2" s="8" t="s">
        <v>3</v>
      </c>
      <c r="B2" s="30" t="s">
        <v>102</v>
      </c>
      <c r="C2" s="33"/>
      <c r="D2" s="33"/>
      <c r="E2" s="33"/>
      <c r="F2" s="33"/>
    </row>
    <row r="3" spans="1:6" ht="15" customHeight="1">
      <c r="A3" s="8" t="s">
        <v>4</v>
      </c>
      <c r="B3" s="29" t="str">
        <f>IFERROR(INDEX(Historias[Título],MATCH($B$2,Historias[Ref],0))&amp;"","")</f>
        <v>MIS GUARDADOS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N</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308</v>
      </c>
      <c r="C12" s="33"/>
      <c r="D12" s="33"/>
      <c r="E12" s="33"/>
      <c r="F12" s="33"/>
    </row>
    <row r="13" spans="1:6" ht="93" customHeight="1">
      <c r="A13" s="8" t="s">
        <v>155</v>
      </c>
      <c r="B13" s="27" t="s">
        <v>309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IF(Obj_CS43[[#This Row],[Descripción]]="","",ROW()-ROW(Obj_CS43[[#Headers],[Objetivo]]))</f>
        <v/>
      </c>
      <c r="B17" s="11"/>
      <c r="C17" s="5"/>
      <c r="D17" s="5"/>
      <c r="E17" s="12"/>
      <c r="F17" s="12"/>
    </row>
    <row r="18" spans="1:6">
      <c r="A18" s="21" t="s">
        <v>470</v>
      </c>
      <c r="B18" s="18"/>
      <c r="C18" s="22"/>
      <c r="D18" s="22"/>
      <c r="E18" s="23">
        <f>SUBTOTAL(109,Obj_CS43[Tiempo estimado])</f>
        <v>0</v>
      </c>
      <c r="F18" s="23">
        <f>SUBTOTAL(109,Obj_CS43[Tiempo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97" priority="1">
      <formula>$B4="En progreso"</formula>
    </cfRule>
    <cfRule type="expression" dxfId="396" priority="2">
      <formula>$B4="En espera"</formula>
    </cfRule>
    <cfRule type="expression" dxfId="395" priority="3">
      <formula>$B4="Finalizada"</formula>
    </cfRule>
    <cfRule type="expression" dxfId="394" priority="4">
      <formula>$B4="Sin página"</formula>
    </cfRule>
  </conditionalFormatting>
  <conditionalFormatting sqref="B5">
    <cfRule type="expression" dxfId="393" priority="5">
      <formula>$B5="I"</formula>
    </cfRule>
    <cfRule type="expression" dxfId="392" priority="6">
      <formula>$B5="N"</formula>
    </cfRule>
    <cfRule type="expression" dxfId="391" priority="7">
      <formula>$B5="M"</formula>
    </cfRule>
  </conditionalFormatting>
  <conditionalFormatting sqref="B6">
    <cfRule type="expression" dxfId="390" priority="8">
      <formula>$B6="Bajo"</formula>
    </cfRule>
    <cfRule type="expression" dxfId="389" priority="9">
      <formula>$B6="Medio bajo"</formula>
    </cfRule>
    <cfRule type="expression" dxfId="388" priority="10">
      <formula>$B6="Medio"</formula>
    </cfRule>
    <cfRule type="expression" dxfId="387" priority="11">
      <formula>$B6="Alto"</formula>
    </cfRule>
    <cfRule type="expression" dxfId="386" priority="12">
      <formula>$B6="Muy alto"</formula>
    </cfRule>
  </conditionalFormatting>
  <conditionalFormatting sqref="C17:C316">
    <cfRule type="expression" dxfId="385" priority="13">
      <formula>$C17="Sí"</formula>
    </cfRule>
    <cfRule type="expression" dxfId="384" priority="14">
      <formula>$C17="No"</formula>
    </cfRule>
  </conditionalFormatting>
  <dataValidations count="3">
    <dataValidation type="list" allowBlank="1" showErrorMessage="1" errorTitle="Finalizado" error="Elige Sí o No." sqref="C17:C316" xr:uid="{00000000-0002-0000-2B00-000000000000}">
      <formula1>"Sí,No"</formula1>
    </dataValidation>
    <dataValidation type="list" errorStyle="warning" allowBlank="1" showErrorMessage="1" errorTitle="Responsable" error="Ese nombre no está en la lista. ¿Lo dejas igualmente?" sqref="D17:D316" xr:uid="{00000000-0002-0000-2B00-000001000000}">
      <formula1>"Joaquin,Matthew,Jorge,Flavia,Lucia,José"</formula1>
    </dataValidation>
    <dataValidation type="decimal" operator="greaterThanOrEqual" allowBlank="1" showErrorMessage="1" errorTitle="Tiempo" error="Escribe solo el número de minutos, por ejemplo 30." sqref="E17:F316" xr:uid="{00000000-0002-0000-2B00-000002000000}">
      <formula1>0</formula1>
    </dataValidation>
  </dataValidations>
  <hyperlinks>
    <hyperlink ref="F1" location="'Índice'!A1" tooltip="Volver al índice" xr:uid="{00000000-0004-0000-2B00-000000000000}"/>
  </hyperlinks>
  <pageMargins left="0.75" right="0.75" top="1" bottom="1" header="0.5" footer="0.5"/>
  <pageSetup fitToHeight="0" orientation="landscape"/>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CS-44 · MIS EXPERIENCIAS PUBLICADAS EN EL PERFIL</v>
      </c>
      <c r="B1" s="32"/>
      <c r="C1" s="32"/>
      <c r="D1" s="32"/>
      <c r="E1" s="32"/>
      <c r="F1" s="7" t="s">
        <v>147</v>
      </c>
    </row>
    <row r="2" spans="1:6" ht="18" customHeight="1">
      <c r="A2" s="8" t="s">
        <v>3</v>
      </c>
      <c r="B2" s="30" t="s">
        <v>104</v>
      </c>
      <c r="C2" s="33"/>
      <c r="D2" s="33"/>
      <c r="E2" s="33"/>
      <c r="F2" s="33"/>
    </row>
    <row r="3" spans="1:6" ht="15" customHeight="1">
      <c r="A3" s="8" t="s">
        <v>4</v>
      </c>
      <c r="B3" s="29" t="str">
        <f>IFERROR(INDEX(Historias[Título],MATCH($B$2,Historias[Ref],0))&amp;"","")</f>
        <v>MIS EXPERIENCIAS PUBLICADAS EN EL PERFIL</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310</v>
      </c>
      <c r="C12" s="33"/>
      <c r="D12" s="33"/>
      <c r="E12" s="33"/>
      <c r="F12" s="33"/>
    </row>
    <row r="13" spans="1:6" ht="78" customHeight="1">
      <c r="A13" s="8" t="s">
        <v>155</v>
      </c>
      <c r="B13" s="27" t="s">
        <v>311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IF(Obj_CS44[[#This Row],[Descripción]]="","",ROW()-ROW(Obj_CS44[[#Headers],[Objetivo]]))</f>
        <v/>
      </c>
      <c r="B17" s="11"/>
      <c r="C17" s="5"/>
      <c r="D17" s="5"/>
      <c r="E17" s="12"/>
      <c r="F17" s="12"/>
    </row>
    <row r="18" spans="1:6">
      <c r="A18" s="21" t="s">
        <v>470</v>
      </c>
      <c r="B18" s="18"/>
      <c r="C18" s="22"/>
      <c r="D18" s="22"/>
      <c r="E18" s="23">
        <f>SUBTOTAL(109,Obj_CS44[Tiempo estimado])</f>
        <v>0</v>
      </c>
      <c r="F18" s="23">
        <f>SUBTOTAL(109,Obj_CS44[Tiempo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83" priority="1">
      <formula>$B4="En progreso"</formula>
    </cfRule>
    <cfRule type="expression" dxfId="382" priority="2">
      <formula>$B4="En espera"</formula>
    </cfRule>
    <cfRule type="expression" dxfId="381" priority="3">
      <formula>$B4="Finalizada"</formula>
    </cfRule>
    <cfRule type="expression" dxfId="380" priority="4">
      <formula>$B4="Sin página"</formula>
    </cfRule>
  </conditionalFormatting>
  <conditionalFormatting sqref="B5">
    <cfRule type="expression" dxfId="379" priority="5">
      <formula>$B5="I"</formula>
    </cfRule>
    <cfRule type="expression" dxfId="378" priority="6">
      <formula>$B5="N"</formula>
    </cfRule>
    <cfRule type="expression" dxfId="377" priority="7">
      <formula>$B5="M"</formula>
    </cfRule>
  </conditionalFormatting>
  <conditionalFormatting sqref="B6">
    <cfRule type="expression" dxfId="376" priority="8">
      <formula>$B6="Bajo"</formula>
    </cfRule>
    <cfRule type="expression" dxfId="375" priority="9">
      <formula>$B6="Medio bajo"</formula>
    </cfRule>
    <cfRule type="expression" dxfId="374" priority="10">
      <formula>$B6="Medio"</formula>
    </cfRule>
    <cfRule type="expression" dxfId="373" priority="11">
      <formula>$B6="Alto"</formula>
    </cfRule>
    <cfRule type="expression" dxfId="372" priority="12">
      <formula>$B6="Muy alto"</formula>
    </cfRule>
  </conditionalFormatting>
  <conditionalFormatting sqref="C17:C316">
    <cfRule type="expression" dxfId="371" priority="13">
      <formula>$C17="Sí"</formula>
    </cfRule>
    <cfRule type="expression" dxfId="370" priority="14">
      <formula>$C17="No"</formula>
    </cfRule>
  </conditionalFormatting>
  <dataValidations count="3">
    <dataValidation type="list" allowBlank="1" showErrorMessage="1" errorTitle="Finalizado" error="Elige Sí o No." sqref="C17:C316" xr:uid="{00000000-0002-0000-2C00-000000000000}">
      <formula1>"Sí,No"</formula1>
    </dataValidation>
    <dataValidation type="list" errorStyle="warning" allowBlank="1" showErrorMessage="1" errorTitle="Responsable" error="Ese nombre no está en la lista. ¿Lo dejas igualmente?" sqref="D17:D316" xr:uid="{00000000-0002-0000-2C00-000001000000}">
      <formula1>"Joaquin,Matthew,Jorge,Flavia,Lucia,José"</formula1>
    </dataValidation>
    <dataValidation type="decimal" operator="greaterThanOrEqual" allowBlank="1" showErrorMessage="1" errorTitle="Tiempo" error="Escribe solo el número de minutos, por ejemplo 30." sqref="E17:F316" xr:uid="{00000000-0002-0000-2C00-000002000000}">
      <formula1>0</formula1>
    </dataValidation>
  </dataValidations>
  <hyperlinks>
    <hyperlink ref="F1" location="'Índice'!A1" tooltip="Volver al índice" xr:uid="{00000000-0004-0000-2C00-000000000000}"/>
  </hyperlinks>
  <pageMargins left="0.75" right="0.75" top="1" bottom="1" header="0.5" footer="0.5"/>
  <pageSetup fitToHeight="0" orientation="landscape"/>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pageSetUpPr fitToPage="1"/>
  </sheetPr>
  <dimension ref="A1:F27"/>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CS-45 · MI NÚMERO DE AMIGOS Y SEGUIDORES</v>
      </c>
      <c r="B1" s="32"/>
      <c r="C1" s="32"/>
      <c r="D1" s="32"/>
      <c r="E1" s="32"/>
      <c r="F1" s="7" t="s">
        <v>147</v>
      </c>
    </row>
    <row r="2" spans="1:6" ht="18" customHeight="1">
      <c r="A2" s="8" t="s">
        <v>3</v>
      </c>
      <c r="B2" s="30" t="s">
        <v>106</v>
      </c>
      <c r="C2" s="33"/>
      <c r="D2" s="33"/>
      <c r="E2" s="33"/>
      <c r="F2" s="33"/>
    </row>
    <row r="3" spans="1:6" ht="15" customHeight="1">
      <c r="A3" s="8" t="s">
        <v>4</v>
      </c>
      <c r="B3" s="29" t="str">
        <f>IFERROR(INDEX(Historias[Título],MATCH($B$2,Historias[Ref],0))&amp;"","")</f>
        <v>MI NÚMERO DE AMIGOS Y SEGUIDORES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t="s">
        <v>139</v>
      </c>
      <c r="C11" s="33"/>
      <c r="D11" s="33"/>
      <c r="E11" s="33"/>
      <c r="F11" s="33"/>
    </row>
    <row r="12" spans="1:6" ht="63" customHeight="1">
      <c r="A12" s="8" t="s">
        <v>153</v>
      </c>
      <c r="B12" s="27" t="s">
        <v>312</v>
      </c>
      <c r="C12" s="33"/>
      <c r="D12" s="33"/>
      <c r="E12" s="33"/>
      <c r="F12" s="33"/>
    </row>
    <row r="13" spans="1:6" ht="78" customHeight="1">
      <c r="A13" s="8" t="s">
        <v>155</v>
      </c>
      <c r="B13" s="27" t="s">
        <v>313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75" customHeight="1">
      <c r="A17" s="16">
        <f>IF(Obj_CS45[[#This Row],[Descripción]]="","",ROW()-ROW(Obj_CS45[[#Headers],[Objetivo]]))</f>
        <v>1</v>
      </c>
      <c r="B17" s="11" t="s">
        <v>314</v>
      </c>
      <c r="C17" s="14" t="inlineStr">
        <is>
          <t>Sí</t>
        </is>
      </c>
      <c r="D17" s="14" t="s">
        <v>315</v>
      </c>
      <c r="E17" s="15">
        <v>15</v>
      </c>
      <c r="F17" s="15">
        <v>8</v>
      </c>
    </row>
    <row r="18" spans="1:6" ht="43.5">
      <c r="A18" s="16">
        <f>IF(Obj_CS45[[#This Row],[Descripción]]="","",ROW()-ROW(Obj_CS45[[#Headers],[Objetivo]]))</f>
        <v>2</v>
      </c>
      <c r="B18" s="11" t="s">
        <v>316</v>
      </c>
      <c r="C18" s="14" t="inlineStr">
        <is>
          <t>Sí</t>
        </is>
      </c>
      <c r="D18" s="14" t="inlineStr">
        <is>
          <t>Flavia</t>
        </is>
      </c>
      <c r="E18" s="15">
        <v>15</v>
      </c>
      <c r="F18" s="15">
        <v>5</v>
      </c>
    </row>
    <row r="19" spans="1:6" ht="43.5">
      <c r="A19" s="16">
        <f>IF(Obj_CS45[[#This Row],[Descripción]]="","",ROW()-ROW(Obj_CS45[[#Headers],[Objetivo]]))</f>
        <v>3</v>
      </c>
      <c r="B19" s="11" t="s">
        <v>317</v>
      </c>
      <c r="C19" s="14" t="inlineStr">
        <is>
          <t>Sí</t>
        </is>
      </c>
      <c r="D19" s="14" t="s">
        <v>315</v>
      </c>
      <c r="E19" s="15">
        <v>10</v>
      </c>
      <c r="F19" s="15">
        <v>6</v>
      </c>
    </row>
    <row r="20" spans="1:6" ht="28.5">
      <c r="A20" s="16">
        <f>IF(Obj_CS45[[#This Row],[Descripción]]="","",ROW()-ROW(Obj_CS45[[#Headers],[Objetivo]]))</f>
        <v>4</v>
      </c>
      <c r="B20" s="11" t="s">
        <v>318</v>
      </c>
      <c r="C20" s="14" t="inlineStr">
        <is>
          <t>Sí</t>
        </is>
      </c>
      <c r="D20" s="14" t="s">
        <v>315</v>
      </c>
      <c r="E20" s="15">
        <v>8</v>
      </c>
      <c r="F20" s="15">
        <v>8</v>
      </c>
    </row>
    <row r="21" spans="1:6" ht="28.5">
      <c r="A21" s="16">
        <f>IF(Obj_CS45[[#This Row],[Descripción]]="","",ROW()-ROW(Obj_CS45[[#Headers],[Objetivo]]))</f>
        <v>5</v>
      </c>
      <c r="B21" s="11" t="s">
        <v>319</v>
      </c>
      <c r="C21" s="14" t="inlineStr">
        <is>
          <t>Sí</t>
        </is>
      </c>
      <c r="D21" s="14" t="s">
        <v>315</v>
      </c>
      <c r="E21" s="15">
        <v>10</v>
      </c>
      <c r="F21" s="15">
        <v>15</v>
      </c>
    </row>
    <row r="22" spans="1:6" ht="57.75">
      <c r="A22" s="16">
        <f>IF(Obj_CS45[[#This Row],[Descripción]]="","",ROW()-ROW(Obj_CS45[[#Headers],[Objetivo]]))</f>
        <v>6</v>
      </c>
      <c r="B22" s="11" t="s">
        <v>320</v>
      </c>
      <c r="C22" s="14"/>
      <c r="D22" s="14" t="s">
        <v>315</v>
      </c>
      <c r="E22" s="15"/>
      <c r="F22" s="15"/>
    </row>
    <row r="23" spans="1:6" ht="28.5">
      <c r="A23" s="16">
        <f>IF(Obj_CS45[[#This Row],[Descripción]]="","",ROW()-ROW(Obj_CS45[[#Headers],[Objetivo]]))</f>
        <v>7</v>
      </c>
      <c r="B23" s="11" t="s">
        <v>321</v>
      </c>
      <c r="C23" s="14"/>
      <c r="D23" s="14" t="s">
        <v>315</v>
      </c>
      <c r="E23" s="15"/>
      <c r="F23" s="15"/>
    </row>
    <row r="24" spans="1:6" ht="28.5">
      <c r="A24" s="16">
        <f>IF(Obj_CS45[[#This Row],[Descripción]]="","",ROW()-ROW(Obj_CS45[[#Headers],[Objetivo]]))</f>
        <v>8</v>
      </c>
      <c r="B24" s="11" t="s">
        <v>322</v>
      </c>
      <c r="C24" s="14"/>
      <c r="D24" s="14" t="s">
        <v>315</v>
      </c>
      <c r="E24" s="15"/>
      <c r="F24" s="15"/>
    </row>
    <row r="25" spans="1:6" ht="43.5">
      <c r="A25" s="16">
        <f>IF(Obj_CS45[[#This Row],[Descripción]]="","",ROW()-ROW(Obj_CS45[[#Headers],[Objetivo]]))</f>
        <v>9</v>
      </c>
      <c r="B25" s="11" t="s">
        <v>323</v>
      </c>
      <c r="C25" s="14"/>
      <c r="D25" s="14" t="s">
        <v>315</v>
      </c>
      <c r="E25" s="15"/>
      <c r="F25" s="15"/>
    </row>
    <row r="26" spans="1:6" ht="43.5">
      <c r="A26" s="16">
        <f>IF(Obj_CS45[[#This Row],[Descripción]]="","",ROW()-ROW(Obj_CS45[[#Headers],[Objetivo]]))</f>
        <v>10</v>
      </c>
      <c r="B26" s="11" t="s">
        <v>324</v>
      </c>
      <c r="C26" s="14"/>
      <c r="D26" s="14" t="s">
        <v>315</v>
      </c>
      <c r="E26" s="15"/>
      <c r="F26" s="15"/>
    </row>
    <row r="27" spans="1:6">
      <c r="A27" s="17" t="s">
        <v>470</v>
      </c>
      <c r="B27" s="18"/>
      <c r="C27" s="19"/>
      <c r="D27" s="19"/>
      <c r="E27" s="20">
        <f>SUBTOTAL(109,Obj_CS45[Tiempo estimado])</f>
        <v>30</v>
      </c>
      <c r="F27" s="20">
        <f>SUBTOTAL(109,Obj_CS45[Tiempo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69" priority="5">
      <formula>$B4="En progreso"</formula>
    </cfRule>
    <cfRule type="expression" dxfId="368" priority="6">
      <formula>$B4="En espera"</formula>
    </cfRule>
    <cfRule type="expression" dxfId="367" priority="7">
      <formula>$B4="Finalizada"</formula>
    </cfRule>
    <cfRule type="expression" dxfId="366" priority="8">
      <formula>$B4="Sin página"</formula>
    </cfRule>
  </conditionalFormatting>
  <conditionalFormatting sqref="B5">
    <cfRule type="expression" dxfId="365" priority="9">
      <formula>$B5="I"</formula>
    </cfRule>
    <cfRule type="expression" dxfId="364" priority="10">
      <formula>$B5="N"</formula>
    </cfRule>
    <cfRule type="expression" dxfId="363" priority="11">
      <formula>$B5="M"</formula>
    </cfRule>
  </conditionalFormatting>
  <conditionalFormatting sqref="B6">
    <cfRule type="expression" dxfId="362" priority="12">
      <formula>$B6="Bajo"</formula>
    </cfRule>
    <cfRule type="expression" dxfId="361" priority="13">
      <formula>$B6="Medio bajo"</formula>
    </cfRule>
    <cfRule type="expression" dxfId="360" priority="14">
      <formula>$B6="Medio"</formula>
    </cfRule>
    <cfRule type="expression" dxfId="359" priority="15">
      <formula>$B6="Alto"</formula>
    </cfRule>
    <cfRule type="expression" dxfId="358" priority="16">
      <formula>$B6="Muy alto"</formula>
    </cfRule>
  </conditionalFormatting>
  <conditionalFormatting sqref="C28:C316">
    <cfRule type="expression" dxfId="357" priority="17">
      <formula>$C28="Sí"</formula>
    </cfRule>
    <cfRule type="expression" dxfId="356" priority="18">
      <formula>$C28="No"</formula>
    </cfRule>
  </conditionalFormatting>
  <conditionalFormatting sqref="C17:C27">
    <cfRule type="expression" dxfId="355" priority="1">
      <formula>$C17="Sí"</formula>
    </cfRule>
    <cfRule type="expression" dxfId="354" priority="2">
      <formula>$C17="No"</formula>
    </cfRule>
  </conditionalFormatting>
  <dataValidations count="3">
    <dataValidation type="list" allowBlank="1" showErrorMessage="1" errorTitle="Finalizado" error="Elige Sí o No." sqref="C17:C316" xr:uid="{00000000-0002-0000-2D00-000000000000}">
      <formula1>"Sí,No"</formula1>
    </dataValidation>
    <dataValidation type="list" errorStyle="warning" allowBlank="1" showErrorMessage="1" errorTitle="Responsable" error="Ese nombre no está en la lista. ¿Lo dejas igualmente?" sqref="D17:D316" xr:uid="{00000000-0002-0000-2D00-000001000000}">
      <formula1>"Joaquin,Matthew,Jorge,Flavia,Lucia,José"</formula1>
    </dataValidation>
    <dataValidation type="decimal" operator="greaterThanOrEqual" allowBlank="1" showErrorMessage="1" errorTitle="Tiempo" error="Escribe solo el número de minutos, por ejemplo 30." sqref="E17:F316" xr:uid="{00000000-0002-0000-2D00-000002000000}">
      <formula1>0</formula1>
    </dataValidation>
  </dataValidations>
  <hyperlinks>
    <hyperlink ref="F1" location="'Índice'!A1" tooltip="Volver al índice" xr:uid="{00000000-0004-0000-2D00-000000000000}"/>
  </hyperlinks>
  <pageMargins left="0.75" right="0.75" top="1" bottom="1" header="0.5" footer="0.5"/>
  <pageSetup fitToHeight="0" orientation="landscape"/>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CS-46 · MIS CIUDADES</v>
      </c>
      <c r="B1" s="32"/>
      <c r="C1" s="32"/>
      <c r="D1" s="32"/>
      <c r="E1" s="32"/>
      <c r="F1" s="7" t="s">
        <v>147</v>
      </c>
    </row>
    <row r="2" spans="1:6" ht="18" customHeight="1">
      <c r="A2" s="8" t="s">
        <v>3</v>
      </c>
      <c r="B2" s="30" t="s">
        <v>108</v>
      </c>
      <c r="C2" s="33"/>
      <c r="D2" s="33"/>
      <c r="E2" s="33"/>
      <c r="F2" s="33"/>
    </row>
    <row r="3" spans="1:6" ht="15" customHeight="1">
      <c r="A3" s="8" t="s">
        <v>4</v>
      </c>
      <c r="B3" s="29" t="str">
        <f>IFERROR(INDEX(Historias[Título],MATCH($B$2,Historias[Ref],0))&amp;"","")</f>
        <v>MIS CIUDADES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325</v>
      </c>
      <c r="C12" s="33"/>
      <c r="D12" s="33"/>
      <c r="E12" s="33"/>
      <c r="F12" s="33"/>
    </row>
    <row r="13" spans="1:6" ht="78" customHeight="1">
      <c r="A13" s="8" t="s">
        <v>155</v>
      </c>
      <c r="B13" s="27" t="s">
        <v>326</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IF(Obj_CS46[[#This Row],[Descripción]]="","",ROW()-ROW(Obj_CS46[[#Headers],[Objetivo]]))</f>
        <v/>
      </c>
      <c r="B17" s="11"/>
      <c r="C17" s="5"/>
      <c r="D17" s="5"/>
      <c r="E17" s="12"/>
      <c r="F17" s="12"/>
    </row>
    <row r="18" spans="1:6">
      <c r="A18" s="21" t="s">
        <v>470</v>
      </c>
      <c r="B18" s="18"/>
      <c r="C18" s="22"/>
      <c r="D18" s="22"/>
      <c r="E18" s="23">
        <f>SUBTOTAL(109,Obj_CS46[Tiempo estimado])</f>
        <v>0</v>
      </c>
      <c r="F18" s="23">
        <f>SUBTOTAL(109,Obj_CS46[Tiempo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41" priority="1">
      <formula>$B4="En progreso"</formula>
    </cfRule>
    <cfRule type="expression" dxfId="340" priority="2">
      <formula>$B4="En espera"</formula>
    </cfRule>
    <cfRule type="expression" dxfId="339" priority="3">
      <formula>$B4="Finalizada"</formula>
    </cfRule>
    <cfRule type="expression" dxfId="338" priority="4">
      <formula>$B4="Sin página"</formula>
    </cfRule>
  </conditionalFormatting>
  <conditionalFormatting sqref="B5">
    <cfRule type="expression" dxfId="337" priority="5">
      <formula>$B5="I"</formula>
    </cfRule>
    <cfRule type="expression" dxfId="336" priority="6">
      <formula>$B5="N"</formula>
    </cfRule>
    <cfRule type="expression" dxfId="335" priority="7">
      <formula>$B5="M"</formula>
    </cfRule>
  </conditionalFormatting>
  <conditionalFormatting sqref="B6">
    <cfRule type="expression" dxfId="334" priority="8">
      <formula>$B6="Bajo"</formula>
    </cfRule>
    <cfRule type="expression" dxfId="333" priority="9">
      <formula>$B6="Medio bajo"</formula>
    </cfRule>
    <cfRule type="expression" dxfId="332" priority="10">
      <formula>$B6="Medio"</formula>
    </cfRule>
    <cfRule type="expression" dxfId="331" priority="11">
      <formula>$B6="Alto"</formula>
    </cfRule>
    <cfRule type="expression" dxfId="330" priority="12">
      <formula>$B6="Muy alto"</formula>
    </cfRule>
  </conditionalFormatting>
  <conditionalFormatting sqref="C17:C316">
    <cfRule type="expression" dxfId="329" priority="13">
      <formula>$C17="Sí"</formula>
    </cfRule>
    <cfRule type="expression" dxfId="328" priority="14">
      <formula>$C17="No"</formula>
    </cfRule>
  </conditionalFormatting>
  <dataValidations count="3">
    <dataValidation type="list" allowBlank="1" showErrorMessage="1" errorTitle="Finalizado" error="Elige Sí o No." sqref="C17:C316" xr:uid="{00000000-0002-0000-2E00-000000000000}">
      <formula1>"Sí,No"</formula1>
    </dataValidation>
    <dataValidation type="list" errorStyle="warning" allowBlank="1" showErrorMessage="1" errorTitle="Responsable" error="Ese nombre no está en la lista. ¿Lo dejas igualmente?" sqref="D17:D316" xr:uid="{00000000-0002-0000-2E00-000001000000}">
      <formula1>"Joaquin,Matthew,Jorge,Flavia,Lucia,José"</formula1>
    </dataValidation>
    <dataValidation type="decimal" operator="greaterThanOrEqual" allowBlank="1" showErrorMessage="1" errorTitle="Tiempo" error="Escribe solo el número de minutos, por ejemplo 30." sqref="E17:F316" xr:uid="{00000000-0002-0000-2E00-000002000000}">
      <formula1>0</formula1>
    </dataValidation>
  </dataValidations>
  <hyperlinks>
    <hyperlink ref="F1" location="'Índice'!A1" tooltip="Volver al índice" xr:uid="{00000000-0004-0000-2E00-000000000000}"/>
  </hyperlinks>
  <pageMargins left="0.75" right="0.75" top="1" bottom="1" header="0.5" footer="0.5"/>
  <pageSetup fitToHeight="0" orientation="landscape"/>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pageSetUpPr fitToPage="1"/>
  </sheetPr>
  <dimension ref="A1:F28"/>
  <sheetViews>
    <sheetView workbookViewId="0">
      <selection activeCell="F1" activeCellId="1" sqref="A1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CS-47 · CREAR MI PERFIL</v>
      </c>
      <c r="B1" s="32"/>
      <c r="C1" s="32"/>
      <c r="D1" s="32"/>
      <c r="E1" s="32"/>
      <c r="F1" s="7" t="s">
        <v>147</v>
      </c>
    </row>
    <row r="2" spans="1:6" ht="18" customHeight="1">
      <c r="A2" s="8" t="s">
        <v>3</v>
      </c>
      <c r="B2" s="30" t="s">
        <v>110</v>
      </c>
      <c r="C2" s="33"/>
      <c r="D2" s="33"/>
      <c r="E2" s="33"/>
      <c r="F2" s="33"/>
    </row>
    <row r="3" spans="1:6" ht="15" customHeight="1">
      <c r="A3" s="8" t="s">
        <v>4</v>
      </c>
      <c r="B3" s="29" t="str">
        <f>IFERROR(INDEX(Historias[Título],MATCH($B$2,Historias[Ref],0))&amp;"","")</f>
        <v>CREAR MI PERFIL</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3.466666666666667</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63" customHeight="1">
      <c r="A12" s="8" t="s">
        <v>153</v>
      </c>
      <c r="B12" s="27" t="s">
        <v>327</v>
      </c>
      <c r="C12" s="33"/>
      <c r="D12" s="33"/>
      <c r="E12" s="33"/>
      <c r="F12" s="33"/>
    </row>
    <row r="13" spans="1:6" ht="93" customHeight="1">
      <c r="A13" s="8" t="s">
        <v>155</v>
      </c>
      <c r="B13" s="27" t="s">
        <v>328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8" customHeight="1">
      <c r="A17" s="10">
        <f>IF(Obj_CS47[[#This Row],[Descripción]]="","",ROW()-ROW(Obj_CS47[[#Headers],[Objetivo]]))</f>
        <v>1</v>
      </c>
      <c r="B17" s="11" t="s">
        <v>329</v>
      </c>
      <c r="C17" s="5" t="s">
        <v>165</v>
      </c>
      <c r="D17" s="5"/>
      <c r="E17" s="12"/>
      <c r="F17" s="12">
        <v>30</v>
      </c>
    </row>
    <row r="18" spans="1:6" ht="33" customHeight="1">
      <c r="A18" s="10">
        <f>IF(Obj_CS47[[#This Row],[Descripción]]="","",ROW()-ROW(Obj_CS47[[#Headers],[Objetivo]]))</f>
        <v>2</v>
      </c>
      <c r="B18" s="11" t="s">
        <v>330</v>
      </c>
      <c r="C18" s="5" t="s">
        <v>165</v>
      </c>
      <c r="D18" s="5"/>
      <c r="E18" s="12"/>
      <c r="F18" s="12">
        <v>20</v>
      </c>
    </row>
    <row r="19" spans="1:6" ht="18" customHeight="1">
      <c r="A19" s="10">
        <f>IF(Obj_CS47[[#This Row],[Descripción]]="","",ROW()-ROW(Obj_CS47[[#Headers],[Objetivo]]))</f>
        <v>3</v>
      </c>
      <c r="B19" s="11" t="s">
        <v>331</v>
      </c>
      <c r="C19" s="5" t="s">
        <v>165</v>
      </c>
      <c r="D19" s="5"/>
      <c r="E19" s="12"/>
      <c r="F19" s="12">
        <v>10</v>
      </c>
    </row>
    <row r="20" spans="1:6" ht="33" customHeight="1">
      <c r="A20" s="10">
        <f>IF(Obj_CS47[[#This Row],[Descripción]]="","",ROW()-ROW(Obj_CS47[[#Headers],[Objetivo]]))</f>
        <v>4</v>
      </c>
      <c r="B20" s="11" t="s">
        <v>332</v>
      </c>
      <c r="C20" s="5" t="s">
        <v>165</v>
      </c>
      <c r="D20" s="5"/>
      <c r="E20" s="12"/>
      <c r="F20" s="12">
        <v>30</v>
      </c>
    </row>
    <row r="21" spans="1:6" ht="33" customHeight="1">
      <c r="A21" s="10">
        <f>IF(Obj_CS47[[#This Row],[Descripción]]="","",ROW()-ROW(Obj_CS47[[#Headers],[Objetivo]]))</f>
        <v>5</v>
      </c>
      <c r="B21" s="11" t="s">
        <v>333</v>
      </c>
      <c r="C21" s="5" t="s">
        <v>165</v>
      </c>
      <c r="D21" s="5"/>
      <c r="E21" s="12"/>
      <c r="F21" s="12">
        <v>30</v>
      </c>
    </row>
    <row r="22" spans="1:6" ht="18" customHeight="1">
      <c r="A22" s="10">
        <f>IF(Obj_CS47[[#This Row],[Descripción]]="","",ROW()-ROW(Obj_CS47[[#Headers],[Objetivo]]))</f>
        <v>6</v>
      </c>
      <c r="B22" s="11" t="s">
        <v>334</v>
      </c>
      <c r="C22" s="5" t="s">
        <v>165</v>
      </c>
      <c r="D22" s="5"/>
      <c r="E22" s="12"/>
      <c r="F22" s="12">
        <v>20</v>
      </c>
    </row>
    <row r="23" spans="1:6" ht="18" customHeight="1">
      <c r="A23" s="10">
        <f>IF(Obj_CS47[[#This Row],[Descripción]]="","",ROW()-ROW(Obj_CS47[[#Headers],[Objetivo]]))</f>
        <v>7</v>
      </c>
      <c r="B23" s="11" t="s">
        <v>335</v>
      </c>
      <c r="C23" s="5" t="s">
        <v>165</v>
      </c>
      <c r="D23" s="5"/>
      <c r="E23" s="12"/>
      <c r="F23" s="12">
        <v>35</v>
      </c>
    </row>
    <row r="24" spans="1:6" ht="18" customHeight="1">
      <c r="A24" s="10">
        <f>IF(Obj_CS47[[#This Row],[Descripción]]="","",ROW()-ROW(Obj_CS47[[#Headers],[Objetivo]]))</f>
        <v>8</v>
      </c>
      <c r="B24" s="11" t="s">
        <v>336</v>
      </c>
      <c r="C24" s="5" t="s">
        <v>165</v>
      </c>
      <c r="D24" s="5"/>
      <c r="E24" s="12"/>
      <c r="F24" s="12">
        <v>8</v>
      </c>
    </row>
    <row r="25" spans="1:6" ht="18" customHeight="1">
      <c r="A25" s="10">
        <f>IF(Obj_CS47[[#This Row],[Descripción]]="","",ROW()-ROW(Obj_CS47[[#Headers],[Objetivo]]))</f>
        <v>9</v>
      </c>
      <c r="B25" s="11" t="s">
        <v>337</v>
      </c>
      <c r="C25" s="5" t="s">
        <v>165</v>
      </c>
      <c r="D25" s="5"/>
      <c r="E25" s="12"/>
      <c r="F25" s="12">
        <v>15</v>
      </c>
    </row>
    <row r="26" spans="1:6" ht="33" customHeight="1">
      <c r="A26" s="10">
        <f>IF(Obj_CS47[[#This Row],[Descripción]]="","",ROW()-ROW(Obj_CS47[[#Headers],[Objetivo]]))</f>
        <v>10</v>
      </c>
      <c r="B26" s="11" t="s">
        <v>338</v>
      </c>
      <c r="C26" s="5" t="s">
        <v>165</v>
      </c>
      <c r="D26" s="5"/>
      <c r="E26" s="12">
        <v>5</v>
      </c>
      <c r="F26" s="12"/>
    </row>
    <row r="27" spans="1:6" ht="18" customHeight="1">
      <c r="A27" s="10">
        <f>IF(Obj_CS47[[#This Row],[Descripción]]="","",ROW()-ROW(Obj_CS47[[#Headers],[Objetivo]]))</f>
        <v>11</v>
      </c>
      <c r="B27" s="11" t="s">
        <v>339</v>
      </c>
      <c r="C27" s="5" t="s">
        <v>165</v>
      </c>
      <c r="D27" s="5"/>
      <c r="E27" s="12"/>
      <c r="F27" s="12">
        <v>10</v>
      </c>
    </row>
    <row r="28" spans="1:6">
      <c r="A28" s="21" t="s">
        <v>470</v>
      </c>
      <c r="B28" s="18"/>
      <c r="C28" s="22"/>
      <c r="D28" s="22"/>
      <c r="E28" s="23">
        <f>SUBTOTAL(109,Obj_CS47[Tiempo estimado])</f>
        <v>5</v>
      </c>
      <c r="F28" s="23">
        <f>SUBTOTAL(109,Obj_CS47[Tiempo total])</f>
        <v>208</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27" priority="1">
      <formula>$B4="En progreso"</formula>
    </cfRule>
    <cfRule type="expression" dxfId="326" priority="2">
      <formula>$B4="En espera"</formula>
    </cfRule>
    <cfRule type="expression" dxfId="325" priority="3">
      <formula>$B4="Finalizada"</formula>
    </cfRule>
    <cfRule type="expression" dxfId="324" priority="4">
      <formula>$B4="Sin página"</formula>
    </cfRule>
  </conditionalFormatting>
  <conditionalFormatting sqref="B5">
    <cfRule type="expression" dxfId="323" priority="5">
      <formula>$B5="I"</formula>
    </cfRule>
    <cfRule type="expression" dxfId="322" priority="6">
      <formula>$B5="N"</formula>
    </cfRule>
    <cfRule type="expression" dxfId="321" priority="7">
      <formula>$B5="M"</formula>
    </cfRule>
  </conditionalFormatting>
  <conditionalFormatting sqref="B6">
    <cfRule type="expression" dxfId="320" priority="8">
      <formula>$B6="Bajo"</formula>
    </cfRule>
    <cfRule type="expression" dxfId="319" priority="9">
      <formula>$B6="Medio bajo"</formula>
    </cfRule>
    <cfRule type="expression" dxfId="318" priority="10">
      <formula>$B6="Medio"</formula>
    </cfRule>
    <cfRule type="expression" dxfId="317" priority="11">
      <formula>$B6="Alto"</formula>
    </cfRule>
    <cfRule type="expression" dxfId="316" priority="12">
      <formula>$B6="Muy alto"</formula>
    </cfRule>
  </conditionalFormatting>
  <conditionalFormatting sqref="C17:C316">
    <cfRule type="expression" dxfId="315" priority="13">
      <formula>$C17="Sí"</formula>
    </cfRule>
    <cfRule type="expression" dxfId="314" priority="14">
      <formula>$C17="No"</formula>
    </cfRule>
  </conditionalFormatting>
  <dataValidations count="3">
    <dataValidation type="list" allowBlank="1" showErrorMessage="1" errorTitle="Finalizado" error="Elige Sí o No." sqref="C17:C316" xr:uid="{00000000-0002-0000-2F00-000000000000}">
      <formula1>"Sí,No"</formula1>
    </dataValidation>
    <dataValidation type="list" errorStyle="warning" allowBlank="1" showErrorMessage="1" errorTitle="Responsable" error="Ese nombre no está en la lista. ¿Lo dejas igualmente?" sqref="D17:D316" xr:uid="{00000000-0002-0000-2F00-000001000000}">
      <formula1>"Joaquin,Matthew,Jorge,Flavia,Lucia,José"</formula1>
    </dataValidation>
    <dataValidation type="decimal" operator="greaterThanOrEqual" allowBlank="1" showErrorMessage="1" errorTitle="Tiempo" error="Escribe solo el número de minutos, por ejemplo 30." sqref="E17:F316" xr:uid="{00000000-0002-0000-2F00-000002000000}">
      <formula1>0</formula1>
    </dataValidation>
  </dataValidations>
  <hyperlinks>
    <hyperlink ref="F1" location="'Índice'!A1" tooltip="Volver al índice" xr:uid="{00000000-0004-0000-2F00-000000000000}"/>
  </hyperlinks>
  <pageMargins left="0.75" right="0.75" top="1" bottom="1" header="0.5" footer="0.5"/>
  <pageSetup fitToHeight="0" orientation="landscape"/>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pageSetUpPr fitToPage="1"/>
  </sheetPr>
  <dimension ref="A1:F27"/>
  <sheetViews>
    <sheetView workbookViewId="0">
      <selection activeCell="F1" activeCellId="1" sqref="H16 F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CS-48 · VALORACIONES DE MIS AMIGOS Y SEGUIDORES</v>
      </c>
      <c r="B1" s="32"/>
      <c r="C1" s="32"/>
      <c r="D1" s="32"/>
      <c r="E1" s="32"/>
      <c r="F1" s="7" t="s">
        <v>147</v>
      </c>
    </row>
    <row r="2" spans="1:6" ht="18" customHeight="1">
      <c r="A2" s="8" t="s">
        <v>3</v>
      </c>
      <c r="B2" s="30" t="s">
        <v>112</v>
      </c>
      <c r="C2" s="33"/>
      <c r="D2" s="33"/>
      <c r="E2" s="33"/>
      <c r="F2" s="33"/>
    </row>
    <row r="3" spans="1:6" ht="15" customHeight="1">
      <c r="A3" s="8" t="s">
        <v>4</v>
      </c>
      <c r="B3" s="29" t="str">
        <f>IFERROR(INDEX(Historias[Título],MATCH($B$2,Historias[Ref],0))&amp;"","")</f>
        <v>VALORACIONES DE MIS AMIGOS Y SEGUIDORES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0.8333333333333334</v>
      </c>
      <c r="C8" s="33"/>
      <c r="D8" s="33"/>
      <c r="E8" s="33"/>
      <c r="F8" s="33"/>
    </row>
    <row r="9" spans="1:6" ht="18" customHeight="1">
      <c r="A9" s="8" t="s">
        <v>148</v>
      </c>
      <c r="B9" s="27" t="s">
        <v>307</v>
      </c>
      <c r="C9" s="33"/>
      <c r="D9" s="33"/>
      <c r="E9" s="33"/>
      <c r="F9" s="33"/>
    </row>
    <row r="10" spans="1:6" ht="18" customHeight="1">
      <c r="A10" s="8" t="s">
        <v>150</v>
      </c>
      <c r="B10" s="28">
        <v>46286</v>
      </c>
      <c r="C10" s="33"/>
      <c r="D10" s="33"/>
      <c r="E10" s="33"/>
      <c r="F10" s="33"/>
    </row>
    <row r="11" spans="1:6" ht="15" customHeight="1">
      <c r="A11" s="8" t="s">
        <v>151</v>
      </c>
      <c r="B11" s="27" t="s">
        <v>340</v>
      </c>
      <c r="C11" s="33"/>
      <c r="D11" s="33"/>
      <c r="E11" s="33"/>
      <c r="F11" s="33"/>
    </row>
    <row r="12" spans="1:6" ht="48" customHeight="1">
      <c r="A12" s="8" t="s">
        <v>153</v>
      </c>
      <c r="B12" s="27" t="s">
        <v>341</v>
      </c>
      <c r="C12" s="33"/>
      <c r="D12" s="33"/>
      <c r="E12" s="33"/>
      <c r="F12" s="33"/>
    </row>
    <row r="13" spans="1:6" ht="93" customHeight="1">
      <c r="A13" s="8" t="s">
        <v>155</v>
      </c>
      <c r="B13" s="27" t="s">
        <v>342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45.75" customHeight="1">
      <c r="A17" s="16">
        <f>IF(Obj_CS48[[#This Row],[Descripción]]="","",ROW()-ROW(Obj_CS48[[#Headers],[Objetivo]]))</f>
        <v>1</v>
      </c>
      <c r="B17" s="11" t="s">
        <v>343</v>
      </c>
      <c r="C17" s="14" t="s">
        <v>165</v>
      </c>
      <c r="D17" s="14" t="s">
        <v>292</v>
      </c>
      <c r="E17" s="15">
        <v>60</v>
      </c>
      <c r="F17" s="15">
        <v>20</v>
      </c>
    </row>
    <row r="18" spans="1:6" ht="43.5">
      <c r="A18" s="16">
        <f>IF(Obj_CS48[[#This Row],[Descripción]]="","",ROW()-ROW(Obj_CS48[[#Headers],[Objetivo]]))</f>
        <v>2</v>
      </c>
      <c r="B18" s="11" t="s">
        <v>344</v>
      </c>
      <c r="C18" s="14" t="s">
        <v>165</v>
      </c>
      <c r="D18" s="14" t="s">
        <v>292</v>
      </c>
      <c r="E18" s="15">
        <v>75</v>
      </c>
      <c r="F18" s="15">
        <v>30</v>
      </c>
    </row>
    <row r="19" spans="1:6" ht="43.5">
      <c r="A19" s="16">
        <f>IF(Obj_CS48[[#This Row],[Descripción]]="","",ROW()-ROW(Obj_CS48[[#Headers],[Objetivo]]))</f>
        <v>3</v>
      </c>
      <c r="B19" s="11" t="s">
        <v>345</v>
      </c>
      <c r="C19" s="14" t="inlineStr">
        <is>
          <t>Sí</t>
        </is>
      </c>
      <c r="D19" s="14" t="s">
        <v>292</v>
      </c>
      <c r="E19" s="15">
        <v>40</v>
      </c>
      <c r="F19" s="15">
        <v>20</v>
      </c>
    </row>
    <row r="20" spans="1:6" ht="43.5">
      <c r="A20" s="16">
        <f>IF(Obj_CS48[[#This Row],[Descripción]]="","",ROW()-ROW(Obj_CS48[[#Headers],[Objetivo]]))</f>
        <v>4</v>
      </c>
      <c r="B20" s="11" t="s">
        <v>346</v>
      </c>
      <c r="C20" s="14" t="inlineStr">
        <is>
          <t>Sí</t>
        </is>
      </c>
      <c r="D20" s="14" t="s">
        <v>292</v>
      </c>
      <c r="E20" s="15">
        <v>20</v>
      </c>
      <c r="F20" s="15">
        <v>15</v>
      </c>
    </row>
    <row r="21" spans="1:6" ht="28.5">
      <c r="A21" s="16">
        <f>IF(Obj_CS48[[#This Row],[Descripción]]="","",ROW()-ROW(Obj_CS48[[#Headers],[Objetivo]]))</f>
        <v>5</v>
      </c>
      <c r="B21" s="11" t="s">
        <v>347</v>
      </c>
      <c r="C21" s="14" t="inlineStr">
        <is>
          <t>Sí</t>
        </is>
      </c>
      <c r="D21" s="14" t="s">
        <v>292</v>
      </c>
      <c r="E21" s="15">
        <v>20</v>
      </c>
      <c r="F21" s="15">
        <v>25</v>
      </c>
    </row>
    <row r="22" spans="1:6" ht="43.5">
      <c r="A22" s="16">
        <f>IF(Obj_CS48[[#This Row],[Descripción]]="","",ROW()-ROW(Obj_CS48[[#Headers],[Objetivo]]))</f>
        <v>6</v>
      </c>
      <c r="B22" s="11" t="s">
        <v>348</v>
      </c>
      <c r="C22" s="14" t="inlineStr">
        <is>
          <t>Sí</t>
        </is>
      </c>
      <c r="D22" s="14" t="s">
        <v>292</v>
      </c>
      <c r="E22" s="15">
        <v>25</v>
      </c>
      <c r="F22" s="15">
        <v>10</v>
      </c>
    </row>
    <row r="23" spans="1:6" ht="28.5">
      <c r="A23" s="16">
        <f>IF(Obj_CS48[[#This Row],[Descripción]]="","",ROW()-ROW(Obj_CS48[[#Headers],[Objetivo]]))</f>
        <v>7</v>
      </c>
      <c r="B23" s="11" t="s">
        <v>349</v>
      </c>
      <c r="C23" s="14" t="inlineStr">
        <is>
          <t>Sí</t>
        </is>
      </c>
      <c r="D23" s="14" t="inlineStr">
        <is>
          <t>Jorge</t>
        </is>
      </c>
      <c r="E23" s="15">
        <v>20</v>
      </c>
      <c r="F23" s="15">
        <v>5</v>
      </c>
    </row>
    <row r="24" spans="1:6" ht="43.5">
      <c r="A24" s="16">
        <f>IF(Obj_CS48[[#This Row],[Descripción]]="","",ROW()-ROW(Obj_CS48[[#Headers],[Objetivo]]))</f>
        <v>8</v>
      </c>
      <c r="B24" s="11" t="s">
        <v>350</v>
      </c>
      <c r="C24" s="14" t="inlineStr">
        <is>
          <t>Sí</t>
        </is>
      </c>
      <c r="D24" s="14" t="inlineStr">
        <is>
          <t>Jorge</t>
        </is>
      </c>
      <c r="E24" s="15">
        <v>10</v>
      </c>
      <c r="F24" s="15">
        <v>5</v>
      </c>
    </row>
    <row r="25" spans="1:6" ht="28.5">
      <c r="A25" s="16">
        <f>IF(Obj_CS48[[#This Row],[Descripción]]="","",ROW()-ROW(Obj_CS48[[#Headers],[Objetivo]]))</f>
        <v>9</v>
      </c>
      <c r="B25" s="11" t="s">
        <v>351</v>
      </c>
      <c r="C25" s="14" t="inlineStr">
        <is>
          <t>Sí</t>
        </is>
      </c>
      <c r="D25" s="14" t="inlineStr">
        <is>
          <t>Jorge</t>
        </is>
      </c>
      <c r="E25" s="15">
        <v>20</v>
      </c>
      <c r="F25" s="15">
        <v>10</v>
      </c>
    </row>
    <row r="26" spans="1:6" ht="43.5">
      <c r="A26" s="16">
        <f>IF(Obj_CS48[[#This Row],[Descripción]]="","",ROW()-ROW(Obj_CS48[[#Headers],[Objetivo]]))</f>
        <v>10</v>
      </c>
      <c r="B26" s="11" t="s">
        <v>352</v>
      </c>
      <c r="C26" s="14" t="inlineStr">
        <is>
          <t>Sí</t>
        </is>
      </c>
      <c r="D26" s="14" t="inlineStr">
        <is>
          <t>Jorge</t>
        </is>
      </c>
      <c r="E26" s="15">
        <v>5</v>
      </c>
      <c r="F26" s="15">
        <v>5</v>
      </c>
    </row>
    <row r="27" spans="1:6">
      <c r="A27" s="17" t="s">
        <v>470</v>
      </c>
      <c r="B27" s="18"/>
      <c r="C27" s="19"/>
      <c r="D27" s="19"/>
      <c r="E27" s="20">
        <f>SUBTOTAL(109,Obj_CS48[Tiempo estimado])</f>
        <v>175</v>
      </c>
      <c r="F27" s="20">
        <f>SUBTOTAL(109,Obj_CS48[Tiempo total])</f>
        <v>50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313" priority="5">
      <formula>$B4="En progreso"</formula>
    </cfRule>
    <cfRule type="expression" dxfId="312" priority="6">
      <formula>$B4="En espera"</formula>
    </cfRule>
    <cfRule type="expression" dxfId="311" priority="7">
      <formula>$B4="Finalizada"</formula>
    </cfRule>
    <cfRule type="expression" dxfId="310" priority="8">
      <formula>$B4="Sin página"</formula>
    </cfRule>
  </conditionalFormatting>
  <conditionalFormatting sqref="B5">
    <cfRule type="expression" dxfId="309" priority="9">
      <formula>$B5="I"</formula>
    </cfRule>
    <cfRule type="expression" dxfId="308" priority="10">
      <formula>$B5="N"</formula>
    </cfRule>
    <cfRule type="expression" dxfId="307" priority="11">
      <formula>$B5="M"</formula>
    </cfRule>
  </conditionalFormatting>
  <conditionalFormatting sqref="B6">
    <cfRule type="expression" dxfId="306" priority="12">
      <formula>$B6="Bajo"</formula>
    </cfRule>
    <cfRule type="expression" dxfId="305" priority="13">
      <formula>$B6="Medio bajo"</formula>
    </cfRule>
    <cfRule type="expression" dxfId="304" priority="14">
      <formula>$B6="Medio"</formula>
    </cfRule>
    <cfRule type="expression" dxfId="303" priority="15">
      <formula>$B6="Alto"</formula>
    </cfRule>
    <cfRule type="expression" dxfId="302" priority="16">
      <formula>$B6="Muy alto"</formula>
    </cfRule>
  </conditionalFormatting>
  <conditionalFormatting sqref="C28:C324">
    <cfRule type="expression" dxfId="301" priority="17">
      <formula>$C28="Sí"</formula>
    </cfRule>
    <cfRule type="expression" dxfId="300" priority="18">
      <formula>$C28="No"</formula>
    </cfRule>
  </conditionalFormatting>
  <conditionalFormatting sqref="C17:C27">
    <cfRule type="expression" dxfId="299" priority="1">
      <formula>$C17="Sí"</formula>
    </cfRule>
    <cfRule type="expression" dxfId="298" priority="2">
      <formula>$C17="No"</formula>
    </cfRule>
  </conditionalFormatting>
  <dataValidations count="3">
    <dataValidation type="list" allowBlank="1" showErrorMessage="1" errorTitle="Finalizado" error="Elige Sí o No." sqref="C17:C324" xr:uid="{00000000-0002-0000-3000-000000000000}">
      <formula1>"Sí,No"</formula1>
    </dataValidation>
    <dataValidation type="list" errorStyle="warning" allowBlank="1" showErrorMessage="1" errorTitle="Responsable" error="Ese nombre no está en la lista. ¿Lo dejas igualmente?" sqref="D17:D324" xr:uid="{00000000-0002-0000-3000-000001000000}">
      <formula1>"Joaquin,Matthew,Jorge,Flavia,Lucia,José"</formula1>
    </dataValidation>
    <dataValidation type="decimal" operator="greaterThanOrEqual" allowBlank="1" showErrorMessage="1" errorTitle="Tiempo" error="Escribe solo el número de minutos, por ejemplo 30." sqref="E17:F324" xr:uid="{00000000-0002-0000-3000-000002000000}">
      <formula1>0</formula1>
    </dataValidation>
  </dataValidations>
  <hyperlinks>
    <hyperlink ref="F1" location="'Índice'!A1" tooltip="Volver al índice" xr:uid="{00000000-0004-0000-3000-000000000000}"/>
  </hyperlinks>
  <pageMargins left="0.75" right="0.75" top="1" bottom="1" header="0.5" footer="0.5"/>
  <pageSetup fitToHeight="0" orientation="landscape"/>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pageSetUpPr fitToPage="1"/>
  </sheetPr>
  <dimension ref="A1:F26"/>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CS-49 · CREACIÓN DE EXPERIENCIAS</v>
      </c>
      <c r="B1" s="32"/>
      <c r="C1" s="32"/>
      <c r="D1" s="32"/>
      <c r="E1" s="32"/>
      <c r="F1" s="7" t="s">
        <v>147</v>
      </c>
    </row>
    <row r="2" spans="1:6" ht="18" customHeight="1">
      <c r="A2" s="8" t="s">
        <v>3</v>
      </c>
      <c r="B2" s="30" t="s">
        <v>114</v>
      </c>
      <c r="C2" s="33"/>
      <c r="D2" s="33"/>
      <c r="E2" s="33"/>
      <c r="F2" s="33"/>
    </row>
    <row r="3" spans="1:6" ht="15" customHeight="1">
      <c r="A3" s="8" t="s">
        <v>4</v>
      </c>
      <c r="B3" s="29" t="str">
        <f>IFERROR(INDEX(Historias[Título],MATCH($B$2,Historias[Ref],0))&amp;"","")</f>
        <v>CREACIÓN DE EXPERIENCIAS</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Medio 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1.5833333333333333</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353</v>
      </c>
      <c r="C12" s="33"/>
      <c r="D12" s="33"/>
      <c r="E12" s="33"/>
      <c r="F12" s="33"/>
    </row>
    <row r="13" spans="1:6" ht="48" customHeight="1">
      <c r="A13" s="8" t="s">
        <v>155</v>
      </c>
      <c r="B13" s="27" t="s">
        <v>354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IF(Obj_CS49[[#This Row],[Descripción]]="","",ROW()-ROW(Obj_CS49[[#Headers],[Objetivo]]))</f>
        <v>1</v>
      </c>
      <c r="B17" s="11" t="s">
        <v>355</v>
      </c>
      <c r="C17" s="5" t="s">
        <v>165</v>
      </c>
      <c r="D17" s="5"/>
      <c r="E17" s="12"/>
      <c r="F17" s="12">
        <v>15</v>
      </c>
    </row>
    <row r="18" spans="1:6" ht="18" customHeight="1">
      <c r="A18" s="10">
        <f>IF(Obj_CS49[[#This Row],[Descripción]]="","",ROW()-ROW(Obj_CS49[[#Headers],[Objetivo]]))</f>
        <v>2</v>
      </c>
      <c r="B18" s="11" t="s">
        <v>356</v>
      </c>
      <c r="C18" s="5" t="s">
        <v>165</v>
      </c>
      <c r="D18" s="5"/>
      <c r="E18" s="12"/>
      <c r="F18" s="12">
        <v>15</v>
      </c>
    </row>
    <row r="19" spans="1:6" ht="33" customHeight="1">
      <c r="A19" s="10">
        <f>IF(Obj_CS49[[#This Row],[Descripción]]="","",ROW()-ROW(Obj_CS49[[#Headers],[Objetivo]]))</f>
        <v>3</v>
      </c>
      <c r="B19" s="11" t="s">
        <v>357</v>
      </c>
      <c r="C19" s="5" t="s">
        <v>165</v>
      </c>
      <c r="D19" s="5"/>
      <c r="E19" s="12"/>
      <c r="F19" s="12">
        <v>5</v>
      </c>
    </row>
    <row r="20" spans="1:6" ht="18" customHeight="1">
      <c r="A20" s="10">
        <f>IF(Obj_CS49[[#This Row],[Descripción]]="","",ROW()-ROW(Obj_CS49[[#Headers],[Objetivo]]))</f>
        <v>4</v>
      </c>
      <c r="B20" s="11" t="s">
        <v>358</v>
      </c>
      <c r="C20" s="5" t="s">
        <v>165</v>
      </c>
      <c r="D20" s="5"/>
      <c r="E20" s="12"/>
      <c r="F20" s="12">
        <v>10</v>
      </c>
    </row>
    <row r="21" spans="1:6" ht="18" customHeight="1">
      <c r="A21" s="10">
        <f>IF(Obj_CS49[[#This Row],[Descripción]]="","",ROW()-ROW(Obj_CS49[[#Headers],[Objetivo]]))</f>
        <v>5</v>
      </c>
      <c r="B21" s="11" t="s">
        <v>359</v>
      </c>
      <c r="C21" s="5" t="s">
        <v>165</v>
      </c>
      <c r="D21" s="5"/>
      <c r="E21" s="12"/>
      <c r="F21" s="12">
        <v>30</v>
      </c>
    </row>
    <row r="22" spans="1:6" ht="18" customHeight="1">
      <c r="A22" s="10">
        <f>IF(Obj_CS49[[#This Row],[Descripción]]="","",ROW()-ROW(Obj_CS49[[#Headers],[Objetivo]]))</f>
        <v>6</v>
      </c>
      <c r="B22" s="11" t="s">
        <v>360</v>
      </c>
      <c r="C22" s="5" t="s">
        <v>165</v>
      </c>
      <c r="D22" s="5"/>
      <c r="E22" s="12"/>
      <c r="F22" s="12">
        <v>10</v>
      </c>
    </row>
    <row r="23" spans="1:6" ht="33" customHeight="1">
      <c r="A23" s="10">
        <f>IF(Obj_CS49[[#This Row],[Descripción]]="","",ROW()-ROW(Obj_CS49[[#Headers],[Objetivo]]))</f>
        <v>7</v>
      </c>
      <c r="B23" s="11" t="s">
        <v>361</v>
      </c>
      <c r="C23" s="5" t="s">
        <v>165</v>
      </c>
      <c r="D23" s="5"/>
      <c r="E23" s="12"/>
      <c r="F23" s="12">
        <v>5</v>
      </c>
    </row>
    <row r="24" spans="1:6" ht="18" customHeight="1">
      <c r="A24" s="10">
        <f>IF(Obj_CS49[[#This Row],[Descripción]]="","",ROW()-ROW(Obj_CS49[[#Headers],[Objetivo]]))</f>
        <v>8</v>
      </c>
      <c r="B24" s="11" t="s">
        <v>362</v>
      </c>
      <c r="C24" s="5" t="s">
        <v>165</v>
      </c>
      <c r="D24" s="5"/>
      <c r="E24" s="12"/>
      <c r="F24" s="12">
        <v>5</v>
      </c>
    </row>
    <row r="25" spans="1:6" ht="33" customHeight="1">
      <c r="A25" s="10">
        <f>IF(Obj_CS49[[#This Row],[Descripción]]="","",ROW()-ROW(Obj_CS49[[#Headers],[Objetivo]]))</f>
        <v>9</v>
      </c>
      <c r="B25" s="11" t="s">
        <v>363</v>
      </c>
      <c r="C25" s="5" t="s">
        <v>165</v>
      </c>
      <c r="D25" s="5"/>
      <c r="E25" s="12">
        <v>5</v>
      </c>
      <c r="F25" s="12"/>
    </row>
    <row r="26" spans="1:6">
      <c r="A26" s="21" t="s">
        <v>470</v>
      </c>
      <c r="B26" s="18"/>
      <c r="C26" s="22"/>
      <c r="D26" s="22"/>
      <c r="E26" s="23">
        <f>SUBTOTAL(109,Obj_CS49[Tiempo estimado])</f>
        <v>5</v>
      </c>
      <c r="F26" s="23">
        <f>SUBTOTAL(109,Obj_CS49[Tiempo total])</f>
        <v>95</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85" priority="1">
      <formula>$B4="En progreso"</formula>
    </cfRule>
    <cfRule type="expression" dxfId="284" priority="2">
      <formula>$B4="En espera"</formula>
    </cfRule>
    <cfRule type="expression" dxfId="283" priority="3">
      <formula>$B4="Finalizada"</formula>
    </cfRule>
    <cfRule type="expression" dxfId="282" priority="4">
      <formula>$B4="Sin página"</formula>
    </cfRule>
  </conditionalFormatting>
  <conditionalFormatting sqref="B5">
    <cfRule type="expression" dxfId="281" priority="5">
      <formula>$B5="I"</formula>
    </cfRule>
    <cfRule type="expression" dxfId="280" priority="6">
      <formula>$B5="N"</formula>
    </cfRule>
    <cfRule type="expression" dxfId="279" priority="7">
      <formula>$B5="M"</formula>
    </cfRule>
  </conditionalFormatting>
  <conditionalFormatting sqref="B6">
    <cfRule type="expression" dxfId="278" priority="8">
      <formula>$B6="Bajo"</formula>
    </cfRule>
    <cfRule type="expression" dxfId="277" priority="9">
      <formula>$B6="Medio bajo"</formula>
    </cfRule>
    <cfRule type="expression" dxfId="276" priority="10">
      <formula>$B6="Medio"</formula>
    </cfRule>
    <cfRule type="expression" dxfId="275" priority="11">
      <formula>$B6="Alto"</formula>
    </cfRule>
    <cfRule type="expression" dxfId="274" priority="12">
      <formula>$B6="Muy alto"</formula>
    </cfRule>
  </conditionalFormatting>
  <conditionalFormatting sqref="C17:C316">
    <cfRule type="expression" dxfId="273" priority="13">
      <formula>$C17="Sí"</formula>
    </cfRule>
    <cfRule type="expression" dxfId="272" priority="14">
      <formula>$C17="No"</formula>
    </cfRule>
  </conditionalFormatting>
  <dataValidations count="3">
    <dataValidation type="list" allowBlank="1" showErrorMessage="1" errorTitle="Finalizado" error="Elige Sí o No." sqref="C17:C316" xr:uid="{00000000-0002-0000-3100-000000000000}">
      <formula1>"Sí,No"</formula1>
    </dataValidation>
    <dataValidation type="list" errorStyle="warning" allowBlank="1" showErrorMessage="1" errorTitle="Responsable" error="Ese nombre no está en la lista. ¿Lo dejas igualmente?" sqref="D17:D316" xr:uid="{00000000-0002-0000-3100-000001000000}">
      <formula1>"Joaquin,Matthew,Jorge,Flavia,Lucia,José"</formula1>
    </dataValidation>
    <dataValidation type="decimal" operator="greaterThanOrEqual" allowBlank="1" showErrorMessage="1" errorTitle="Tiempo" error="Escribe solo el número de minutos, por ejemplo 30." sqref="E17:F316" xr:uid="{00000000-0002-0000-3100-000002000000}">
      <formula1>0</formula1>
    </dataValidation>
  </dataValidations>
  <hyperlinks>
    <hyperlink ref="F1" location="'Índice'!A1" tooltip="Volver al índice" xr:uid="{00000000-0004-0000-3100-000000000000}"/>
  </hyperlinks>
  <pageMargins left="0.75" right="0.75" top="1" bottom="1" header="0.5" footer="0.5"/>
  <pageSetup fitToHeight="0" orientation="landscape"/>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CS-50 · LUGARES DE LA EXPERIENCIA</v>
      </c>
      <c r="B1" s="32"/>
      <c r="C1" s="32"/>
      <c r="D1" s="32"/>
      <c r="E1" s="32"/>
      <c r="F1" s="7" t="s">
        <v>147</v>
      </c>
    </row>
    <row r="2" spans="1:6" ht="18" customHeight="1">
      <c r="A2" s="8" t="s">
        <v>3</v>
      </c>
      <c r="B2" s="30" t="s">
        <v>117</v>
      </c>
      <c r="C2" s="33"/>
      <c r="D2" s="33"/>
      <c r="E2" s="33"/>
      <c r="F2" s="33"/>
    </row>
    <row r="3" spans="1:6" ht="15" customHeight="1">
      <c r="A3" s="8" t="s">
        <v>4</v>
      </c>
      <c r="B3" s="29" t="str">
        <f>IFERROR(INDEX(Historias[Título],MATCH($B$2,Historias[Ref],0))&amp;"","")</f>
        <v>LUGARES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364</v>
      </c>
      <c r="C12" s="33"/>
      <c r="D12" s="33"/>
      <c r="E12" s="33"/>
      <c r="F12" s="33"/>
    </row>
    <row r="13" spans="1:6" ht="63" customHeight="1">
      <c r="A13" s="8" t="s">
        <v>155</v>
      </c>
      <c r="B13" s="27" t="s">
        <v>365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IF(Obj_CS50[[#This Row],[Descripción]]="","",ROW()-ROW(Obj_CS50[[#Headers],[Objetivo]]))</f>
        <v/>
      </c>
      <c r="B17" s="11"/>
      <c r="C17" s="5"/>
      <c r="D17" s="5"/>
      <c r="E17" s="12"/>
      <c r="F17" s="12"/>
    </row>
    <row r="18" spans="1:6">
      <c r="A18" s="21" t="s">
        <v>470</v>
      </c>
      <c r="B18" s="18"/>
      <c r="C18" s="22"/>
      <c r="D18" s="22"/>
      <c r="E18" s="23">
        <f>SUBTOTAL(109,Obj_CS50[Tiempo estimado])</f>
        <v>0</v>
      </c>
      <c r="F18" s="23">
        <f>SUBTOTAL(109,Obj_CS50[Tiempo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71" priority="1">
      <formula>$B4="En progreso"</formula>
    </cfRule>
    <cfRule type="expression" dxfId="270" priority="2">
      <formula>$B4="En espera"</formula>
    </cfRule>
    <cfRule type="expression" dxfId="269" priority="3">
      <formula>$B4="Finalizada"</formula>
    </cfRule>
    <cfRule type="expression" dxfId="268" priority="4">
      <formula>$B4="Sin página"</formula>
    </cfRule>
  </conditionalFormatting>
  <conditionalFormatting sqref="B5">
    <cfRule type="expression" dxfId="267" priority="5">
      <formula>$B5="I"</formula>
    </cfRule>
    <cfRule type="expression" dxfId="266" priority="6">
      <formula>$B5="N"</formula>
    </cfRule>
    <cfRule type="expression" dxfId="265" priority="7">
      <formula>$B5="M"</formula>
    </cfRule>
  </conditionalFormatting>
  <conditionalFormatting sqref="B6">
    <cfRule type="expression" dxfId="264" priority="8">
      <formula>$B6="Bajo"</formula>
    </cfRule>
    <cfRule type="expression" dxfId="263" priority="9">
      <formula>$B6="Medio bajo"</formula>
    </cfRule>
    <cfRule type="expression" dxfId="262" priority="10">
      <formula>$B6="Medio"</formula>
    </cfRule>
    <cfRule type="expression" dxfId="261" priority="11">
      <formula>$B6="Alto"</formula>
    </cfRule>
    <cfRule type="expression" dxfId="260" priority="12">
      <formula>$B6="Muy alto"</formula>
    </cfRule>
  </conditionalFormatting>
  <conditionalFormatting sqref="C17:C316">
    <cfRule type="expression" dxfId="259" priority="13">
      <formula>$C17="Sí"</formula>
    </cfRule>
    <cfRule type="expression" dxfId="258" priority="14">
      <formula>$C17="No"</formula>
    </cfRule>
  </conditionalFormatting>
  <dataValidations count="3">
    <dataValidation type="list" allowBlank="1" showErrorMessage="1" errorTitle="Finalizado" error="Elige Sí o No." sqref="C17:C316" xr:uid="{00000000-0002-0000-3200-000000000000}">
      <formula1>"Sí,No"</formula1>
    </dataValidation>
    <dataValidation type="list" errorStyle="warning" allowBlank="1" showErrorMessage="1" errorTitle="Responsable" error="Ese nombre no está en la lista. ¿Lo dejas igualmente?" sqref="D17:D316" xr:uid="{00000000-0002-0000-3200-000001000000}">
      <formula1>"Joaquin,Matthew,Jorge,Flavia,Lucia,José"</formula1>
    </dataValidation>
    <dataValidation type="decimal" operator="greaterThanOrEqual" allowBlank="1" showErrorMessage="1" errorTitle="Tiempo" error="Escribe solo el número de minutos, por ejemplo 30." sqref="E17:F316" xr:uid="{00000000-0002-0000-3200-000002000000}">
      <formula1>0</formula1>
    </dataValidation>
  </dataValidations>
  <hyperlinks>
    <hyperlink ref="F1" location="'Índice'!A1" tooltip="Volver al índice" xr:uid="{00000000-0004-0000-3200-000000000000}"/>
  </hyperlinks>
  <pageMargins left="0.75" right="0.75" top="1" bottom="1" header="0.5" footer="0.5"/>
  <pageSetup fitToHeight="0" orientation="landscape"/>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CS-51 · ITINERARIO DE EXPERIENCIAS</v>
      </c>
      <c r="B1" s="32"/>
      <c r="C1" s="32"/>
      <c r="D1" s="32"/>
      <c r="E1" s="32"/>
      <c r="F1" s="7" t="s">
        <v>147</v>
      </c>
    </row>
    <row r="2" spans="1:6" ht="18" customHeight="1">
      <c r="A2" s="8" t="s">
        <v>3</v>
      </c>
      <c r="B2" s="30" t="s">
        <v>119</v>
      </c>
      <c r="C2" s="33"/>
      <c r="D2" s="33"/>
      <c r="E2" s="33"/>
      <c r="F2" s="33"/>
    </row>
    <row r="3" spans="1:6" ht="15" customHeight="1">
      <c r="A3" s="8" t="s">
        <v>4</v>
      </c>
      <c r="B3" s="29" t="str">
        <f>IFERROR(INDEX(Historias[Título],MATCH($B$2,Historias[Ref],0))&amp;"","")</f>
        <v>ITINERARIO DE EXPERIENCIAS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366</v>
      </c>
      <c r="C12" s="33"/>
      <c r="D12" s="33"/>
      <c r="E12" s="33"/>
      <c r="F12" s="33"/>
    </row>
    <row r="13" spans="1:6" ht="45" customHeight="1">
      <c r="A13" s="8" t="s">
        <v>155</v>
      </c>
      <c r="B13" s="27" t="s">
        <v>367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IF(Obj_CS51[[#This Row],[Descripción]]="","",ROW()-ROW(Obj_CS51[[#Headers],[Objetivo]]))</f>
        <v/>
      </c>
      <c r="B17" s="11"/>
      <c r="C17" s="5"/>
      <c r="D17" s="5"/>
      <c r="E17" s="12"/>
      <c r="F17" s="12"/>
    </row>
    <row r="18" spans="1:6">
      <c r="A18" s="21" t="s">
        <v>470</v>
      </c>
      <c r="B18" s="18"/>
      <c r="C18" s="22"/>
      <c r="D18" s="22"/>
      <c r="E18" s="23">
        <f>SUBTOTAL(109,Obj_CS51[Tiempo estimado])</f>
        <v>0</v>
      </c>
      <c r="F18" s="23">
        <f>SUBTOTAL(109,Obj_CS51[Tiempo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57" priority="1">
      <formula>$B4="En progreso"</formula>
    </cfRule>
    <cfRule type="expression" dxfId="256" priority="2">
      <formula>$B4="En espera"</formula>
    </cfRule>
    <cfRule type="expression" dxfId="255" priority="3">
      <formula>$B4="Finalizada"</formula>
    </cfRule>
    <cfRule type="expression" dxfId="254" priority="4">
      <formula>$B4="Sin página"</formula>
    </cfRule>
  </conditionalFormatting>
  <conditionalFormatting sqref="B5">
    <cfRule type="expression" dxfId="253" priority="5">
      <formula>$B5="I"</formula>
    </cfRule>
    <cfRule type="expression" dxfId="252" priority="6">
      <formula>$B5="N"</formula>
    </cfRule>
    <cfRule type="expression" dxfId="251" priority="7">
      <formula>$B5="M"</formula>
    </cfRule>
  </conditionalFormatting>
  <conditionalFormatting sqref="B6">
    <cfRule type="expression" dxfId="250" priority="8">
      <formula>$B6="Bajo"</formula>
    </cfRule>
    <cfRule type="expression" dxfId="249" priority="9">
      <formula>$B6="Medio bajo"</formula>
    </cfRule>
    <cfRule type="expression" dxfId="248" priority="10">
      <formula>$B6="Medio"</formula>
    </cfRule>
    <cfRule type="expression" dxfId="247" priority="11">
      <formula>$B6="Alto"</formula>
    </cfRule>
    <cfRule type="expression" dxfId="246" priority="12">
      <formula>$B6="Muy alto"</formula>
    </cfRule>
  </conditionalFormatting>
  <conditionalFormatting sqref="C17:C316">
    <cfRule type="expression" dxfId="245" priority="13">
      <formula>$C17="Sí"</formula>
    </cfRule>
    <cfRule type="expression" dxfId="244" priority="14">
      <formula>$C17="No"</formula>
    </cfRule>
  </conditionalFormatting>
  <dataValidations count="3">
    <dataValidation type="list" allowBlank="1" showErrorMessage="1" errorTitle="Finalizado" error="Elige Sí o No." sqref="C17:C316" xr:uid="{00000000-0002-0000-3300-000000000000}">
      <formula1>"Sí,No"</formula1>
    </dataValidation>
    <dataValidation type="list" errorStyle="warning" allowBlank="1" showErrorMessage="1" errorTitle="Responsable" error="Ese nombre no está en la lista. ¿Lo dejas igualmente?" sqref="D17:D316" xr:uid="{00000000-0002-0000-3300-000001000000}">
      <formula1>"Joaquin,Matthew,Jorge,Flavia,Lucia,José"</formula1>
    </dataValidation>
    <dataValidation type="decimal" operator="greaterThanOrEqual" allowBlank="1" showErrorMessage="1" errorTitle="Tiempo" error="Escribe solo el número de minutos, por ejemplo 30." sqref="E17:F316" xr:uid="{00000000-0002-0000-3300-000002000000}">
      <formula1>0</formula1>
    </dataValidation>
  </dataValidations>
  <hyperlinks>
    <hyperlink ref="F1" location="'Índice'!A1" tooltip="Volver al índice" xr:uid="{00000000-0004-0000-3300-000000000000}"/>
  </hyperlinks>
  <pageMargins left="0.75" right="0.75" top="1" bottom="1" header="0.5" footer="0.5"/>
  <pageSetup fitToHeight="0" orientation="landscape"/>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CS-52 · FOTOS Y COMENTARIOS DE LUGARES</v>
      </c>
      <c r="B1" s="32"/>
      <c r="C1" s="32"/>
      <c r="D1" s="32"/>
      <c r="E1" s="32"/>
      <c r="F1" s="7" t="s">
        <v>147</v>
      </c>
    </row>
    <row r="2" spans="1:6" ht="18" customHeight="1">
      <c r="A2" s="8" t="s">
        <v>3</v>
      </c>
      <c r="B2" s="30" t="s">
        <v>121</v>
      </c>
      <c r="C2" s="33"/>
      <c r="D2" s="33"/>
      <c r="E2" s="33"/>
      <c r="F2" s="33"/>
    </row>
    <row r="3" spans="1:6" ht="15" customHeight="1">
      <c r="A3" s="8" t="s">
        <v>4</v>
      </c>
      <c r="B3" s="29" t="str">
        <f>IFERROR(INDEX(Historias[Título],MATCH($B$2,Historias[Ref],0))&amp;"","")</f>
        <v>FOTOS Y COMENTARIOS DE LUGARES</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368</v>
      </c>
      <c r="C12" s="33"/>
      <c r="D12" s="33"/>
      <c r="E12" s="33"/>
      <c r="F12" s="33"/>
    </row>
    <row r="13" spans="1:6" ht="45" customHeight="1">
      <c r="A13" s="8" t="s">
        <v>155</v>
      </c>
      <c r="B13" s="27" t="s">
        <v>369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IF(Obj_CS52[[#This Row],[Descripción]]="","",ROW()-ROW(Obj_CS52[[#Headers],[Objetivo]]))</f>
        <v/>
      </c>
      <c r="B17" s="11"/>
      <c r="C17" s="5"/>
      <c r="D17" s="5"/>
      <c r="E17" s="12"/>
      <c r="F17" s="12"/>
    </row>
    <row r="18" spans="1:6">
      <c r="A18" s="21" t="s">
        <v>470</v>
      </c>
      <c r="B18" s="18"/>
      <c r="C18" s="22"/>
      <c r="D18" s="22"/>
      <c r="E18" s="23">
        <f>SUBTOTAL(109,Obj_CS52[Tiempo estimado])</f>
        <v>0</v>
      </c>
      <c r="F18" s="23">
        <f>SUBTOTAL(109,Obj_CS52[Tiempo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43" priority="1">
      <formula>$B4="En progreso"</formula>
    </cfRule>
    <cfRule type="expression" dxfId="242" priority="2">
      <formula>$B4="En espera"</formula>
    </cfRule>
    <cfRule type="expression" dxfId="241" priority="3">
      <formula>$B4="Finalizada"</formula>
    </cfRule>
    <cfRule type="expression" dxfId="240" priority="4">
      <formula>$B4="Sin página"</formula>
    </cfRule>
  </conditionalFormatting>
  <conditionalFormatting sqref="B5">
    <cfRule type="expression" dxfId="239" priority="5">
      <formula>$B5="I"</formula>
    </cfRule>
    <cfRule type="expression" dxfId="238" priority="6">
      <formula>$B5="N"</formula>
    </cfRule>
    <cfRule type="expression" dxfId="237" priority="7">
      <formula>$B5="M"</formula>
    </cfRule>
  </conditionalFormatting>
  <conditionalFormatting sqref="B6">
    <cfRule type="expression" dxfId="236" priority="8">
      <formula>$B6="Bajo"</formula>
    </cfRule>
    <cfRule type="expression" dxfId="235" priority="9">
      <formula>$B6="Medio bajo"</formula>
    </cfRule>
    <cfRule type="expression" dxfId="234" priority="10">
      <formula>$B6="Medio"</formula>
    </cfRule>
    <cfRule type="expression" dxfId="233" priority="11">
      <formula>$B6="Alto"</formula>
    </cfRule>
    <cfRule type="expression" dxfId="232" priority="12">
      <formula>$B6="Muy alto"</formula>
    </cfRule>
  </conditionalFormatting>
  <conditionalFormatting sqref="C17:C316">
    <cfRule type="expression" dxfId="231" priority="13">
      <formula>$C17="Sí"</formula>
    </cfRule>
    <cfRule type="expression" dxfId="230" priority="14">
      <formula>$C17="No"</formula>
    </cfRule>
  </conditionalFormatting>
  <dataValidations count="3">
    <dataValidation type="list" allowBlank="1" showErrorMessage="1" errorTitle="Finalizado" error="Elige Sí o No." sqref="C17:C316" xr:uid="{00000000-0002-0000-3400-000000000000}">
      <formula1>"Sí,No"</formula1>
    </dataValidation>
    <dataValidation type="list" errorStyle="warning" allowBlank="1" showErrorMessage="1" errorTitle="Responsable" error="Ese nombre no está en la lista. ¿Lo dejas igualmente?" sqref="D17:D316" xr:uid="{00000000-0002-0000-3400-000001000000}">
      <formula1>"Joaquin,Matthew,Jorge,Flavia,Lucia,José"</formula1>
    </dataValidation>
    <dataValidation type="decimal" operator="greaterThanOrEqual" allowBlank="1" showErrorMessage="1" errorTitle="Tiempo" error="Escribe solo el número de minutos, por ejemplo 30." sqref="E17:F316" xr:uid="{00000000-0002-0000-3400-000002000000}">
      <formula1>0</formula1>
    </dataValidation>
  </dataValidations>
  <hyperlinks>
    <hyperlink ref="F1" location="'Índice'!A1" tooltip="Volver al índice" xr:uid="{00000000-0004-0000-3400-000000000000}"/>
  </hyperlinks>
  <pageMargins left="0.75" right="0.75" top="1" bottom="1" header="0.5" footer="0.5"/>
  <pageSetup fitToHeight="0" orientation="landscape"/>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CS-53 · DURACIÓN Y TARIFA DE LA EXPERIENCIA</v>
      </c>
      <c r="B1" s="32"/>
      <c r="C1" s="32"/>
      <c r="D1" s="32"/>
      <c r="E1" s="32"/>
      <c r="F1" s="7" t="s">
        <v>147</v>
      </c>
    </row>
    <row r="2" spans="1:6" ht="18" customHeight="1">
      <c r="A2" s="8" t="s">
        <v>3</v>
      </c>
      <c r="B2" s="30" t="s">
        <v>123</v>
      </c>
      <c r="C2" s="33"/>
      <c r="D2" s="33"/>
      <c r="E2" s="33"/>
      <c r="F2" s="33"/>
    </row>
    <row r="3" spans="1:6" ht="15" customHeight="1">
      <c r="A3" s="8" t="s">
        <v>4</v>
      </c>
      <c r="B3" s="29" t="str">
        <f>IFERROR(INDEX(Historias[Título],MATCH($B$2,Historias[Ref],0))&amp;"","")</f>
        <v>DURACIÓN Y TARIFA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370</v>
      </c>
      <c r="C12" s="33"/>
      <c r="D12" s="33"/>
      <c r="E12" s="33"/>
      <c r="F12" s="33"/>
    </row>
    <row r="13" spans="1:6" ht="45" customHeight="1">
      <c r="A13" s="8" t="s">
        <v>155</v>
      </c>
      <c r="B13" s="27" t="s">
        <v>371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IF(Obj_CS53[[#This Row],[Descripción]]="","",ROW()-ROW(Obj_CS53[[#Headers],[Objetivo]]))</f>
        <v/>
      </c>
      <c r="B17" s="11"/>
      <c r="C17" s="5"/>
      <c r="D17" s="5"/>
      <c r="E17" s="12"/>
      <c r="F17" s="12"/>
    </row>
    <row r="18" spans="1:6">
      <c r="A18" s="21" t="s">
        <v>470</v>
      </c>
      <c r="B18" s="18"/>
      <c r="C18" s="22"/>
      <c r="D18" s="22"/>
      <c r="E18" s="23">
        <f>SUBTOTAL(109,Obj_CS53[Tiempo estimado])</f>
        <v>0</v>
      </c>
      <c r="F18" s="23">
        <f>SUBTOTAL(109,Obj_CS53[Tiempo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29" priority="1">
      <formula>$B4="En progreso"</formula>
    </cfRule>
    <cfRule type="expression" dxfId="228" priority="2">
      <formula>$B4="En espera"</formula>
    </cfRule>
    <cfRule type="expression" dxfId="227" priority="3">
      <formula>$B4="Finalizada"</formula>
    </cfRule>
    <cfRule type="expression" dxfId="226" priority="4">
      <formula>$B4="Sin página"</formula>
    </cfRule>
  </conditionalFormatting>
  <conditionalFormatting sqref="B5">
    <cfRule type="expression" dxfId="225" priority="5">
      <formula>$B5="I"</formula>
    </cfRule>
    <cfRule type="expression" dxfId="224" priority="6">
      <formula>$B5="N"</formula>
    </cfRule>
    <cfRule type="expression" dxfId="223" priority="7">
      <formula>$B5="M"</formula>
    </cfRule>
  </conditionalFormatting>
  <conditionalFormatting sqref="B6">
    <cfRule type="expression" dxfId="222" priority="8">
      <formula>$B6="Bajo"</formula>
    </cfRule>
    <cfRule type="expression" dxfId="221" priority="9">
      <formula>$B6="Medio bajo"</formula>
    </cfRule>
    <cfRule type="expression" dxfId="220" priority="10">
      <formula>$B6="Medio"</formula>
    </cfRule>
    <cfRule type="expression" dxfId="219" priority="11">
      <formula>$B6="Alto"</formula>
    </cfRule>
    <cfRule type="expression" dxfId="218" priority="12">
      <formula>$B6="Muy alto"</formula>
    </cfRule>
  </conditionalFormatting>
  <conditionalFormatting sqref="C17:C316">
    <cfRule type="expression" dxfId="217" priority="13">
      <formula>$C17="Sí"</formula>
    </cfRule>
    <cfRule type="expression" dxfId="216" priority="14">
      <formula>$C17="No"</formula>
    </cfRule>
  </conditionalFormatting>
  <dataValidations count="3">
    <dataValidation type="list" allowBlank="1" showErrorMessage="1" errorTitle="Finalizado" error="Elige Sí o No." sqref="C17:C316" xr:uid="{00000000-0002-0000-3500-000000000000}">
      <formula1>"Sí,No"</formula1>
    </dataValidation>
    <dataValidation type="list" errorStyle="warning" allowBlank="1" showErrorMessage="1" errorTitle="Responsable" error="Ese nombre no está en la lista. ¿Lo dejas igualmente?" sqref="D17:D316" xr:uid="{00000000-0002-0000-3500-000001000000}">
      <formula1>"Joaquin,Matthew,Jorge,Flavia,Lucia,José"</formula1>
    </dataValidation>
    <dataValidation type="decimal" operator="greaterThanOrEqual" allowBlank="1" showErrorMessage="1" errorTitle="Tiempo" error="Escribe solo el número de minutos, por ejemplo 30." sqref="E17:F316" xr:uid="{00000000-0002-0000-3500-000002000000}">
      <formula1>0</formula1>
    </dataValidation>
  </dataValidations>
  <hyperlinks>
    <hyperlink ref="F1" location="'Índice'!A1" tooltip="Volver al índice" xr:uid="{00000000-0004-0000-3500-000000000000}"/>
  </hyperlinks>
  <pageMargins left="0.75" right="0.75" top="1" bottom="1" header="0.5" footer="0.5"/>
  <pageSetup fitToHeight="0" orientation="landscape"/>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CS-54 · EVENTOS DE UN LUGAR</v>
      </c>
      <c r="B1" s="32"/>
      <c r="C1" s="32"/>
      <c r="D1" s="32"/>
      <c r="E1" s="32"/>
      <c r="F1" s="7" t="s">
        <v>147</v>
      </c>
    </row>
    <row r="2" spans="1:6" ht="18" customHeight="1">
      <c r="A2" s="8" t="s">
        <v>3</v>
      </c>
      <c r="B2" s="30" t="s">
        <v>125</v>
      </c>
      <c r="C2" s="33"/>
      <c r="D2" s="33"/>
      <c r="E2" s="33"/>
      <c r="F2" s="33"/>
    </row>
    <row r="3" spans="1:6" ht="15" customHeight="1">
      <c r="A3" s="8" t="s">
        <v>4</v>
      </c>
      <c r="B3" s="29" t="str">
        <f>IFERROR(INDEX(Historias[Título],MATCH($B$2,Historias[Ref],0))&amp;"","")</f>
        <v>EVENTOS DE UN LUGAR</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5</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372</v>
      </c>
      <c r="C12" s="33"/>
      <c r="D12" s="33"/>
      <c r="E12" s="33"/>
      <c r="F12" s="33"/>
    </row>
    <row r="13" spans="1:6" ht="45" customHeight="1">
      <c r="A13" s="8" t="s">
        <v>155</v>
      </c>
      <c r="B13" s="27" t="s">
        <v>373</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IF(Obj_CS54[[#This Row],[Descripción]]="","",ROW()-ROW(Obj_CS54[[#Headers],[Objetivo]]))</f>
        <v/>
      </c>
      <c r="B17" s="11"/>
      <c r="C17" s="5"/>
      <c r="D17" s="5"/>
      <c r="E17" s="12"/>
      <c r="F17" s="12"/>
    </row>
    <row r="18" spans="1:6">
      <c r="A18" s="21" t="s">
        <v>470</v>
      </c>
      <c r="B18" s="18"/>
      <c r="C18" s="22"/>
      <c r="D18" s="22"/>
      <c r="E18" s="23">
        <f>SUBTOTAL(109,Obj_CS54[Tiempo estimado])</f>
        <v>0</v>
      </c>
      <c r="F18" s="23">
        <f>SUBTOTAL(109,Obj_CS54[Tiempo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15" priority="1">
      <formula>$B4="En progreso"</formula>
    </cfRule>
    <cfRule type="expression" dxfId="214" priority="2">
      <formula>$B4="En espera"</formula>
    </cfRule>
    <cfRule type="expression" dxfId="213" priority="3">
      <formula>$B4="Finalizada"</formula>
    </cfRule>
    <cfRule type="expression" dxfId="212" priority="4">
      <formula>$B4="Sin página"</formula>
    </cfRule>
  </conditionalFormatting>
  <conditionalFormatting sqref="B5">
    <cfRule type="expression" dxfId="211" priority="5">
      <formula>$B5="I"</formula>
    </cfRule>
    <cfRule type="expression" dxfId="210" priority="6">
      <formula>$B5="N"</formula>
    </cfRule>
    <cfRule type="expression" dxfId="209" priority="7">
      <formula>$B5="M"</formula>
    </cfRule>
  </conditionalFormatting>
  <conditionalFormatting sqref="B6">
    <cfRule type="expression" dxfId="208" priority="8">
      <formula>$B6="Bajo"</formula>
    </cfRule>
    <cfRule type="expression" dxfId="207" priority="9">
      <formula>$B6="Medio bajo"</formula>
    </cfRule>
    <cfRule type="expression" dxfId="206" priority="10">
      <formula>$B6="Medio"</formula>
    </cfRule>
    <cfRule type="expression" dxfId="205" priority="11">
      <formula>$B6="Alto"</formula>
    </cfRule>
    <cfRule type="expression" dxfId="204" priority="12">
      <formula>$B6="Muy alto"</formula>
    </cfRule>
  </conditionalFormatting>
  <conditionalFormatting sqref="C17:C316">
    <cfRule type="expression" dxfId="203" priority="13">
      <formula>$C17="Sí"</formula>
    </cfRule>
    <cfRule type="expression" dxfId="202" priority="14">
      <formula>$C17="No"</formula>
    </cfRule>
  </conditionalFormatting>
  <dataValidations count="3">
    <dataValidation type="list" allowBlank="1" showErrorMessage="1" errorTitle="Finalizado" error="Elige Sí o No." sqref="C17:C316" xr:uid="{00000000-0002-0000-3600-000000000000}">
      <formula1>"Sí,No"</formula1>
    </dataValidation>
    <dataValidation type="list" errorStyle="warning" allowBlank="1" showErrorMessage="1" errorTitle="Responsable" error="Ese nombre no está en la lista. ¿Lo dejas igualmente?" sqref="D17:D316" xr:uid="{00000000-0002-0000-3600-000001000000}">
      <formula1>"Joaquin,Matthew,Jorge,Flavia,Lucia,José"</formula1>
    </dataValidation>
    <dataValidation type="decimal" operator="greaterThanOrEqual" allowBlank="1" showErrorMessage="1" errorTitle="Tiempo" error="Escribe solo el número de minutos, por ejemplo 30." sqref="E17:F316" xr:uid="{00000000-0002-0000-3600-000002000000}">
      <formula1>0</formula1>
    </dataValidation>
  </dataValidations>
  <hyperlinks>
    <hyperlink ref="F1" location="'Índice'!A1" tooltip="Volver al índice" xr:uid="{00000000-0004-0000-3600-000000000000}"/>
  </hyperlinks>
  <pageMargins left="0.75" right="0.75" top="1" bottom="1" header="0.5" footer="0.5"/>
  <pageSetup fitToHeight="0" orientation="landscape"/>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CS-55 · CATEGORÍA DE LA EXPERIENCIA</v>
      </c>
      <c r="B1" s="32"/>
      <c r="C1" s="32"/>
      <c r="D1" s="32"/>
      <c r="E1" s="32"/>
      <c r="F1" s="7" t="s">
        <v>147</v>
      </c>
    </row>
    <row r="2" spans="1:6" ht="18" customHeight="1">
      <c r="A2" s="8" t="s">
        <v>3</v>
      </c>
      <c r="B2" s="30" t="s">
        <v>127</v>
      </c>
      <c r="C2" s="33"/>
      <c r="D2" s="33"/>
      <c r="E2" s="33"/>
      <c r="F2" s="33"/>
    </row>
    <row r="3" spans="1:6" ht="15" customHeight="1">
      <c r="A3" s="8" t="s">
        <v>4</v>
      </c>
      <c r="B3" s="29" t="str">
        <f>IFERROR(INDEX(Historias[Título],MATCH($B$2,Historias[Ref],0))&amp;"","")</f>
        <v>CATEGORÍA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374</v>
      </c>
      <c r="C12" s="33"/>
      <c r="D12" s="33"/>
      <c r="E12" s="33"/>
      <c r="F12" s="33"/>
    </row>
    <row r="13" spans="1:6" ht="45" customHeight="1">
      <c r="A13" s="8" t="s">
        <v>155</v>
      </c>
      <c r="B13" s="27" t="s">
        <v>375</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IF(Obj_CS55[[#This Row],[Descripción]]="","",ROW()-ROW(Obj_CS55[[#Headers],[Objetivo]]))</f>
        <v/>
      </c>
      <c r="B17" s="11"/>
      <c r="C17" s="5"/>
      <c r="D17" s="5"/>
      <c r="E17" s="12"/>
      <c r="F17" s="12"/>
    </row>
    <row r="18" spans="1:6">
      <c r="A18" s="21" t="s">
        <v>470</v>
      </c>
      <c r="B18" s="18"/>
      <c r="C18" s="22"/>
      <c r="D18" s="22"/>
      <c r="E18" s="23">
        <f>SUBTOTAL(109,Obj_CS55[Tiempo estimado])</f>
        <v>0</v>
      </c>
      <c r="F18" s="23">
        <f>SUBTOTAL(109,Obj_CS55[Tiempo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01" priority="1">
      <formula>$B4="En progreso"</formula>
    </cfRule>
    <cfRule type="expression" dxfId="200" priority="2">
      <formula>$B4="En espera"</formula>
    </cfRule>
    <cfRule type="expression" dxfId="199" priority="3">
      <formula>$B4="Finalizada"</formula>
    </cfRule>
    <cfRule type="expression" dxfId="198" priority="4">
      <formula>$B4="Sin página"</formula>
    </cfRule>
  </conditionalFormatting>
  <conditionalFormatting sqref="B5">
    <cfRule type="expression" dxfId="197" priority="5">
      <formula>$B5="I"</formula>
    </cfRule>
    <cfRule type="expression" dxfId="196" priority="6">
      <formula>$B5="N"</formula>
    </cfRule>
    <cfRule type="expression" dxfId="195" priority="7">
      <formula>$B5="M"</formula>
    </cfRule>
  </conditionalFormatting>
  <conditionalFormatting sqref="B6">
    <cfRule type="expression" dxfId="194" priority="8">
      <formula>$B6="Bajo"</formula>
    </cfRule>
    <cfRule type="expression" dxfId="193" priority="9">
      <formula>$B6="Medio bajo"</formula>
    </cfRule>
    <cfRule type="expression" dxfId="192" priority="10">
      <formula>$B6="Medio"</formula>
    </cfRule>
    <cfRule type="expression" dxfId="191" priority="11">
      <formula>$B6="Alto"</formula>
    </cfRule>
    <cfRule type="expression" dxfId="190" priority="12">
      <formula>$B6="Muy alto"</formula>
    </cfRule>
  </conditionalFormatting>
  <conditionalFormatting sqref="C17:C316">
    <cfRule type="expression" dxfId="189" priority="13">
      <formula>$C17="Sí"</formula>
    </cfRule>
    <cfRule type="expression" dxfId="188" priority="14">
      <formula>$C17="No"</formula>
    </cfRule>
  </conditionalFormatting>
  <dataValidations count="3">
    <dataValidation type="list" allowBlank="1" showErrorMessage="1" errorTitle="Finalizado" error="Elige Sí o No." sqref="C17:C316" xr:uid="{00000000-0002-0000-3700-000000000000}">
      <formula1>"Sí,No"</formula1>
    </dataValidation>
    <dataValidation type="list" errorStyle="warning" allowBlank="1" showErrorMessage="1" errorTitle="Responsable" error="Ese nombre no está en la lista. ¿Lo dejas igualmente?" sqref="D17:D316" xr:uid="{00000000-0002-0000-3700-000001000000}">
      <formula1>"Joaquin,Matthew,Jorge,Flavia,Lucia,José"</formula1>
    </dataValidation>
    <dataValidation type="decimal" operator="greaterThanOrEqual" allowBlank="1" showErrorMessage="1" errorTitle="Tiempo" error="Escribe solo el número de minutos, por ejemplo 30." sqref="E17:F316" xr:uid="{00000000-0002-0000-3700-000002000000}">
      <formula1>0</formula1>
    </dataValidation>
  </dataValidations>
  <hyperlinks>
    <hyperlink ref="F1" location="'Índice'!A1" tooltip="Volver al índice" xr:uid="{00000000-0004-0000-3700-000000000000}"/>
  </hyperlinks>
  <pageMargins left="0.75" right="0.75" top="1" bottom="1" header="0.5" footer="0.5"/>
  <pageSetup fitToHeight="0" orientation="landscape"/>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CS-56 · MOMENTO RECOMENDADO DE LA EXPERIENCIA</v>
      </c>
      <c r="B1" s="32"/>
      <c r="C1" s="32"/>
      <c r="D1" s="32"/>
      <c r="E1" s="32"/>
      <c r="F1" s="7" t="s">
        <v>147</v>
      </c>
    </row>
    <row r="2" spans="1:6" ht="18" customHeight="1">
      <c r="A2" s="8" t="s">
        <v>3</v>
      </c>
      <c r="B2" s="30" t="s">
        <v>129</v>
      </c>
      <c r="C2" s="33"/>
      <c r="D2" s="33"/>
      <c r="E2" s="33"/>
      <c r="F2" s="33"/>
    </row>
    <row r="3" spans="1:6" ht="15" customHeight="1">
      <c r="A3" s="8" t="s">
        <v>4</v>
      </c>
      <c r="B3" s="29" t="str">
        <f>IFERROR(INDEX(Historias[Título],MATCH($B$2,Historias[Ref],0))&amp;"","")</f>
        <v>MOMENTO RECOMENDADO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Alto</v>
      </c>
      <c r="C6" s="33"/>
      <c r="D6" s="33"/>
      <c r="E6" s="33"/>
      <c r="F6" s="33"/>
    </row>
    <row r="7" spans="1:6" ht="15" customHeight="1">
      <c r="A7" s="8" t="s">
        <v>7</v>
      </c>
      <c r="B7" s="26">
        <f>IFERROR(INDEX(Historias[Tiempo estimado],MATCH($B$2,Historias[Ref],0)),"")</f>
        <v>6</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376</v>
      </c>
      <c r="C12" s="33"/>
      <c r="D12" s="33"/>
      <c r="E12" s="33"/>
      <c r="F12" s="33"/>
    </row>
    <row r="13" spans="1:6" ht="45" customHeight="1">
      <c r="A13" s="8" t="s">
        <v>155</v>
      </c>
      <c r="B13" s="27" t="s">
        <v>377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IF(Obj_CS56[[#This Row],[Descripción]]="","",ROW()-ROW(Obj_CS56[[#Headers],[Objetivo]]))</f>
        <v/>
      </c>
      <c r="B17" s="11"/>
      <c r="C17" s="5"/>
      <c r="D17" s="5"/>
      <c r="E17" s="12"/>
      <c r="F17" s="12"/>
    </row>
    <row r="18" spans="1:6">
      <c r="A18" s="21" t="s">
        <v>470</v>
      </c>
      <c r="B18" s="18"/>
      <c r="C18" s="22"/>
      <c r="D18" s="22"/>
      <c r="E18" s="23">
        <f>SUBTOTAL(109,Obj_CS56[Tiempo estimado])</f>
        <v>0</v>
      </c>
      <c r="F18" s="23">
        <f>SUBTOTAL(109,Obj_CS56[Tiempo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87" priority="1">
      <formula>$B4="En progreso"</formula>
    </cfRule>
    <cfRule type="expression" dxfId="186" priority="2">
      <formula>$B4="En espera"</formula>
    </cfRule>
    <cfRule type="expression" dxfId="185" priority="3">
      <formula>$B4="Finalizada"</formula>
    </cfRule>
    <cfRule type="expression" dxfId="184" priority="4">
      <formula>$B4="Sin página"</formula>
    </cfRule>
  </conditionalFormatting>
  <conditionalFormatting sqref="B5">
    <cfRule type="expression" dxfId="183" priority="5">
      <formula>$B5="I"</formula>
    </cfRule>
    <cfRule type="expression" dxfId="182" priority="6">
      <formula>$B5="N"</formula>
    </cfRule>
    <cfRule type="expression" dxfId="181" priority="7">
      <formula>$B5="M"</formula>
    </cfRule>
  </conditionalFormatting>
  <conditionalFormatting sqref="B6">
    <cfRule type="expression" dxfId="180" priority="8">
      <formula>$B6="Bajo"</formula>
    </cfRule>
    <cfRule type="expression" dxfId="179" priority="9">
      <formula>$B6="Medio bajo"</formula>
    </cfRule>
    <cfRule type="expression" dxfId="178" priority="10">
      <formula>$B6="Medio"</formula>
    </cfRule>
    <cfRule type="expression" dxfId="177" priority="11">
      <formula>$B6="Alto"</formula>
    </cfRule>
    <cfRule type="expression" dxfId="176" priority="12">
      <formula>$B6="Muy alto"</formula>
    </cfRule>
  </conditionalFormatting>
  <conditionalFormatting sqref="C17:C316">
    <cfRule type="expression" dxfId="175" priority="13">
      <formula>$C17="Sí"</formula>
    </cfRule>
    <cfRule type="expression" dxfId="174" priority="14">
      <formula>$C17="No"</formula>
    </cfRule>
  </conditionalFormatting>
  <dataValidations count="3">
    <dataValidation type="list" allowBlank="1" showErrorMessage="1" errorTitle="Finalizado" error="Elige Sí o No." sqref="C17:C316" xr:uid="{00000000-0002-0000-3800-000000000000}">
      <formula1>"Sí,No"</formula1>
    </dataValidation>
    <dataValidation type="list" errorStyle="warning" allowBlank="1" showErrorMessage="1" errorTitle="Responsable" error="Ese nombre no está en la lista. ¿Lo dejas igualmente?" sqref="D17:D316" xr:uid="{00000000-0002-0000-3800-000001000000}">
      <formula1>"Joaquin,Matthew,Jorge,Flavia,Lucia,José"</formula1>
    </dataValidation>
    <dataValidation type="decimal" operator="greaterThanOrEqual" allowBlank="1" showErrorMessage="1" errorTitle="Tiempo" error="Escribe solo el número de minutos, por ejemplo 30." sqref="E17:F316" xr:uid="{00000000-0002-0000-3800-000002000000}">
      <formula1>0</formula1>
    </dataValidation>
  </dataValidations>
  <hyperlinks>
    <hyperlink ref="F1" location="'Índice'!A1" tooltip="Volver al índice" xr:uid="{00000000-0004-0000-3800-000000000000}"/>
  </hyperlinks>
  <pageMargins left="0.75" right="0.75" top="1" bottom="1" header="0.5" footer="0.5"/>
  <pageSetup fitToHeight="0" orientation="landscape"/>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pageSetUpPr fitToPage="1"/>
  </sheetPr>
  <dimension ref="A1:F25"/>
  <sheetViews>
    <sheetView topLeftCell="A13"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CS-57 · EDICIÓN DE EXPERIENCIA</v>
      </c>
      <c r="B1" s="32"/>
      <c r="C1" s="32"/>
      <c r="D1" s="32"/>
      <c r="E1" s="32"/>
      <c r="F1" s="7" t="s">
        <v>147</v>
      </c>
    </row>
    <row r="2" spans="1:6" ht="18" customHeight="1">
      <c r="A2" s="8" t="s">
        <v>3</v>
      </c>
      <c r="B2" s="30" t="s">
        <v>131</v>
      </c>
      <c r="C2" s="33"/>
      <c r="D2" s="33"/>
      <c r="E2" s="33"/>
      <c r="F2" s="33"/>
    </row>
    <row r="3" spans="1:6" ht="15" customHeight="1">
      <c r="A3" s="8" t="s">
        <v>4</v>
      </c>
      <c r="B3" s="29" t="str">
        <f>IFERROR(INDEX(Historias[Título],MATCH($B$2,Historias[Ref],0))&amp;"","")</f>
        <v>EDICIÓN DE EXPERIENCIA</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0.8333333333333334</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5" customHeight="1">
      <c r="A12" s="8" t="s">
        <v>153</v>
      </c>
      <c r="B12" s="27" t="s">
        <v>378</v>
      </c>
      <c r="C12" s="33"/>
      <c r="D12" s="33"/>
      <c r="E12" s="33"/>
      <c r="F12" s="33"/>
    </row>
    <row r="13" spans="1:6" ht="48" customHeight="1">
      <c r="A13" s="8" t="s">
        <v>155</v>
      </c>
      <c r="B13" s="27" t="s">
        <v>379</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8" customHeight="1">
      <c r="A17" s="10">
        <f>IF(Obj_CS57[[#This Row],[Descripción]]="","",ROW()-ROW(Obj_CS57[[#Headers],[Objetivo]]))</f>
        <v>1</v>
      </c>
      <c r="B17" s="11" t="s">
        <v>380</v>
      </c>
      <c r="C17" s="5" t="s">
        <v>165</v>
      </c>
      <c r="D17" s="5"/>
      <c r="E17" s="12"/>
      <c r="F17" s="12">
        <v>20</v>
      </c>
    </row>
    <row r="18" spans="1:6" ht="18" customHeight="1">
      <c r="A18" s="10">
        <f>IF(Obj_CS57[[#This Row],[Descripción]]="","",ROW()-ROW(Obj_CS57[[#Headers],[Objetivo]]))</f>
        <v>2</v>
      </c>
      <c r="B18" s="11" t="s">
        <v>381</v>
      </c>
      <c r="C18" s="5" t="s">
        <v>165</v>
      </c>
      <c r="D18" s="5"/>
      <c r="E18" s="12"/>
      <c r="F18" s="12">
        <v>15</v>
      </c>
    </row>
    <row r="19" spans="1:6" ht="18" customHeight="1">
      <c r="A19" s="10">
        <f>IF(Obj_CS57[[#This Row],[Descripción]]="","",ROW()-ROW(Obj_CS57[[#Headers],[Objetivo]]))</f>
        <v>3</v>
      </c>
      <c r="B19" s="11" t="s">
        <v>382</v>
      </c>
      <c r="C19" s="5" t="s">
        <v>165</v>
      </c>
      <c r="D19" s="5"/>
      <c r="E19" s="12"/>
      <c r="F19" s="12">
        <v>10</v>
      </c>
    </row>
    <row r="20" spans="1:6" ht="33" customHeight="1">
      <c r="A20" s="10">
        <f>IF(Obj_CS57[[#This Row],[Descripción]]="","",ROW()-ROW(Obj_CS57[[#Headers],[Objetivo]]))</f>
        <v>4</v>
      </c>
      <c r="B20" s="11" t="s">
        <v>383</v>
      </c>
      <c r="C20" s="5" t="s">
        <v>384</v>
      </c>
      <c r="D20" s="5"/>
      <c r="E20" s="12"/>
      <c r="F20" s="12"/>
    </row>
    <row r="21" spans="1:6" ht="18" customHeight="1">
      <c r="A21" s="10">
        <f>IF(Obj_CS57[[#This Row],[Descripción]]="","",ROW()-ROW(Obj_CS57[[#Headers],[Objetivo]]))</f>
        <v>5</v>
      </c>
      <c r="B21" s="11" t="s">
        <v>385</v>
      </c>
      <c r="C21" s="5" t="s">
        <v>165</v>
      </c>
      <c r="D21" s="5"/>
      <c r="E21" s="12"/>
      <c r="F21" s="12">
        <v>5</v>
      </c>
    </row>
    <row r="22" spans="1:6" ht="18" customHeight="1">
      <c r="A22" s="10">
        <f>IF(Obj_CS57[[#This Row],[Descripción]]="","",ROW()-ROW(Obj_CS57[[#Headers],[Objetivo]]))</f>
        <v>6</v>
      </c>
      <c r="B22" s="11" t="s">
        <v>386</v>
      </c>
      <c r="C22" s="5" t="s">
        <v>165</v>
      </c>
      <c r="D22" s="5"/>
      <c r="E22" s="12">
        <v>5</v>
      </c>
      <c r="F22" s="12"/>
    </row>
    <row r="23" spans="1:6" ht="33" customHeight="1">
      <c r="A23" s="10">
        <f>IF(Obj_CS57[[#This Row],[Descripción]]="","",ROW()-ROW(Obj_CS57[[#Headers],[Objetivo]]))</f>
        <v>7</v>
      </c>
      <c r="B23" s="11" t="s">
        <v>387</v>
      </c>
      <c r="C23" s="5" t="s">
        <v>165</v>
      </c>
      <c r="D23" s="5"/>
      <c r="E23" s="12">
        <v>5</v>
      </c>
      <c r="F23" s="12"/>
    </row>
    <row r="24" spans="1:6" ht="33" customHeight="1">
      <c r="A24" s="10">
        <f>IF(Obj_CS57[[#This Row],[Descripción]]="","",ROW()-ROW(Obj_CS57[[#Headers],[Objetivo]]))</f>
        <v>8</v>
      </c>
      <c r="B24" s="11" t="s">
        <v>388</v>
      </c>
      <c r="C24" s="5" t="s">
        <v>165</v>
      </c>
      <c r="D24" s="5"/>
      <c r="E24" s="12">
        <v>5</v>
      </c>
      <c r="F24" s="12"/>
    </row>
    <row r="25" spans="1:6">
      <c r="A25" s="21" t="s">
        <v>470</v>
      </c>
      <c r="B25" s="18"/>
      <c r="C25" s="22"/>
      <c r="D25" s="22"/>
      <c r="E25" s="23">
        <f>SUBTOTAL(109,Obj_CS57[Tiempo estimado])</f>
        <v>15</v>
      </c>
      <c r="F25" s="23">
        <f>SUBTOTAL(109,Obj_CS57[Tiempo total])</f>
        <v>50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73" priority="1">
      <formula>$B4="En progreso"</formula>
    </cfRule>
    <cfRule type="expression" dxfId="172" priority="2">
      <formula>$B4="En espera"</formula>
    </cfRule>
    <cfRule type="expression" dxfId="171" priority="3">
      <formula>$B4="Finalizada"</formula>
    </cfRule>
    <cfRule type="expression" dxfId="170" priority="4">
      <formula>$B4="Sin página"</formula>
    </cfRule>
  </conditionalFormatting>
  <conditionalFormatting sqref="B5">
    <cfRule type="expression" dxfId="169" priority="5">
      <formula>$B5="I"</formula>
    </cfRule>
    <cfRule type="expression" dxfId="168" priority="6">
      <formula>$B5="N"</formula>
    </cfRule>
    <cfRule type="expression" dxfId="167" priority="7">
      <formula>$B5="M"</formula>
    </cfRule>
  </conditionalFormatting>
  <conditionalFormatting sqref="B6">
    <cfRule type="expression" dxfId="166" priority="8">
      <formula>$B6="Bajo"</formula>
    </cfRule>
    <cfRule type="expression" dxfId="165" priority="9">
      <formula>$B6="Medio bajo"</formula>
    </cfRule>
    <cfRule type="expression" dxfId="164" priority="10">
      <formula>$B6="Medio"</formula>
    </cfRule>
    <cfRule type="expression" dxfId="163" priority="11">
      <formula>$B6="Alto"</formula>
    </cfRule>
    <cfRule type="expression" dxfId="162" priority="12">
      <formula>$B6="Muy alto"</formula>
    </cfRule>
  </conditionalFormatting>
  <conditionalFormatting sqref="C17:C316">
    <cfRule type="expression" dxfId="161" priority="13">
      <formula>$C17="Sí"</formula>
    </cfRule>
    <cfRule type="expression" dxfId="160" priority="14">
      <formula>$C17="No"</formula>
    </cfRule>
  </conditionalFormatting>
  <dataValidations count="3">
    <dataValidation type="list" allowBlank="1" showErrorMessage="1" errorTitle="Finalizado" error="Elige Sí o No." sqref="C17:C316" xr:uid="{00000000-0002-0000-3900-000000000000}">
      <formula1>"Sí,No"</formula1>
    </dataValidation>
    <dataValidation type="list" errorStyle="warning" allowBlank="1" showErrorMessage="1" errorTitle="Responsable" error="Ese nombre no está en la lista. ¿Lo dejas igualmente?" sqref="D17:D316" xr:uid="{00000000-0002-0000-3900-000001000000}">
      <formula1>"Joaquin,Matthew,Jorge,Flavia,Lucia,José"</formula1>
    </dataValidation>
    <dataValidation type="decimal" operator="greaterThanOrEqual" allowBlank="1" showErrorMessage="1" errorTitle="Tiempo" error="Escribe solo el número de minutos, por ejemplo 30." sqref="E17:F316" xr:uid="{00000000-0002-0000-3900-000002000000}">
      <formula1>0</formula1>
    </dataValidation>
  </dataValidations>
  <hyperlinks>
    <hyperlink ref="F1" location="'Índice'!A1" tooltip="Volver al índice" xr:uid="{00000000-0004-0000-3900-000000000000}"/>
  </hyperlinks>
  <pageMargins left="0.75" right="0.75" top="1" bottom="1" header="0.5" footer="0.5"/>
  <pageSetup fitToHeight="0" orientation="landscape"/>
  <tableParts count="1">
    <tablePart r:id="rId1"/>
  </tableParts>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pageSetUpPr fitToPage="1"/>
  </sheetPr>
  <dimension ref="A1:F18"/>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CS-58 · TRANSPORTE PÚBLICO DE LA EXPERIENCIA</v>
      </c>
      <c r="B1" s="32"/>
      <c r="C1" s="32"/>
      <c r="D1" s="32"/>
      <c r="E1" s="32"/>
      <c r="F1" s="7" t="s">
        <v>147</v>
      </c>
    </row>
    <row r="2" spans="1:6" ht="18" customHeight="1">
      <c r="A2" s="8" t="s">
        <v>3</v>
      </c>
      <c r="B2" s="30" t="s">
        <v>133</v>
      </c>
      <c r="C2" s="33"/>
      <c r="D2" s="33"/>
      <c r="E2" s="33"/>
      <c r="F2" s="33"/>
    </row>
    <row r="3" spans="1:6" ht="15" customHeight="1">
      <c r="A3" s="8" t="s">
        <v>4</v>
      </c>
      <c r="B3" s="29" t="str">
        <f>IFERROR(INDEX(Historias[Título],MATCH($B$2,Historias[Ref],0))&amp;"","")</f>
        <v>TRANSPORTE PÚBLICO DE LA EXPERIENCIA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M</v>
      </c>
      <c r="C5" s="33"/>
      <c r="D5" s="33"/>
      <c r="E5" s="33"/>
      <c r="F5" s="33"/>
    </row>
    <row r="6" spans="1:6" ht="15" customHeight="1">
      <c r="A6" s="8" t="s">
        <v>5</v>
      </c>
      <c r="B6" s="29" t="str">
        <f>IFERROR(INDEX(Historias[Riesgo],MATCH($B$2,Historias[Ref],0))&amp;"","")</f>
        <v/>
      </c>
      <c r="C6" s="33"/>
      <c r="D6" s="33"/>
      <c r="E6" s="33"/>
      <c r="F6" s="33"/>
    </row>
    <row r="7" spans="1:6" ht="15" customHeight="1">
      <c r="A7" s="8" t="s">
        <v>7</v>
      </c>
      <c r="B7" s="26">
        <f>IFERROR(INDEX(Historias[Tiempo estimado],MATCH($B$2,Historias[Ref],0)),"")</f>
        <v>0</v>
      </c>
      <c r="C7" s="33"/>
      <c r="D7" s="33"/>
      <c r="E7" s="33"/>
      <c r="F7" s="33"/>
    </row>
    <row r="8" spans="1:6" ht="15" customHeight="1">
      <c r="A8" s="8" t="s">
        <v>8</v>
      </c>
      <c r="B8" s="26">
        <f>SUMIFS(F:F,A:A,"&gt;0")/60</f>
        <v>0.0</v>
      </c>
      <c r="C8" s="33"/>
      <c r="D8" s="33"/>
      <c r="E8" s="33"/>
      <c r="F8" s="33"/>
    </row>
    <row r="9" spans="1:6" ht="18" customHeight="1">
      <c r="A9" s="8" t="s">
        <v>148</v>
      </c>
      <c r="B9" s="27" t="s">
        <v>315</v>
      </c>
      <c r="C9" s="33"/>
      <c r="D9" s="33"/>
      <c r="E9" s="33"/>
      <c r="F9" s="33"/>
    </row>
    <row r="10" spans="1:6" ht="18" customHeight="1">
      <c r="A10" s="8" t="s">
        <v>150</v>
      </c>
      <c r="B10" s="28">
        <v>46286</v>
      </c>
      <c r="C10" s="33"/>
      <c r="D10" s="33"/>
      <c r="E10" s="33"/>
      <c r="F10" s="33"/>
    </row>
    <row r="11" spans="1:6" ht="15" customHeight="1">
      <c r="A11" s="8" t="s">
        <v>151</v>
      </c>
      <c r="B11" s="27"/>
      <c r="C11" s="33"/>
      <c r="D11" s="33"/>
      <c r="E11" s="33"/>
      <c r="F11" s="33"/>
    </row>
    <row r="12" spans="1:6" ht="48" customHeight="1">
      <c r="A12" s="8" t="s">
        <v>153</v>
      </c>
      <c r="B12" s="27" t="s">
        <v>389</v>
      </c>
      <c r="C12" s="33"/>
      <c r="D12" s="33"/>
      <c r="E12" s="33"/>
      <c r="F12" s="33"/>
    </row>
    <row r="13" spans="1:6" ht="63" customHeight="1">
      <c r="A13" s="8" t="s">
        <v>155</v>
      </c>
      <c r="B13" s="27" t="s">
        <v>390</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0" t="str">
        <f>IF(Obj_CS58[[#This Row],[Descripción]]="","",ROW()-ROW(Obj_CS58[[#Headers],[Objetivo]]))</f>
        <v/>
      </c>
      <c r="B17" s="11"/>
      <c r="C17" s="5"/>
      <c r="D17" s="5"/>
      <c r="E17" s="12"/>
      <c r="F17" s="12"/>
    </row>
    <row r="18" spans="1:6">
      <c r="A18" s="21" t="s">
        <v>470</v>
      </c>
      <c r="B18" s="18"/>
      <c r="C18" s="22"/>
      <c r="D18" s="22"/>
      <c r="E18" s="23">
        <f>SUBTOTAL(109,Obj_CS58[Tiempo estimado])</f>
        <v>0</v>
      </c>
      <c r="F18" s="23">
        <f>SUBTOTAL(109,Obj_CS58[Tiempo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59" priority="1">
      <formula>$B4="En progreso"</formula>
    </cfRule>
    <cfRule type="expression" dxfId="158" priority="2">
      <formula>$B4="En espera"</formula>
    </cfRule>
    <cfRule type="expression" dxfId="157" priority="3">
      <formula>$B4="Finalizada"</formula>
    </cfRule>
    <cfRule type="expression" dxfId="156" priority="4">
      <formula>$B4="Sin página"</formula>
    </cfRule>
  </conditionalFormatting>
  <conditionalFormatting sqref="B5">
    <cfRule type="expression" dxfId="155" priority="5">
      <formula>$B5="I"</formula>
    </cfRule>
    <cfRule type="expression" dxfId="154" priority="6">
      <formula>$B5="N"</formula>
    </cfRule>
    <cfRule type="expression" dxfId="153" priority="7">
      <formula>$B5="M"</formula>
    </cfRule>
  </conditionalFormatting>
  <conditionalFormatting sqref="B6">
    <cfRule type="expression" dxfId="152" priority="8">
      <formula>$B6="Bajo"</formula>
    </cfRule>
    <cfRule type="expression" dxfId="151" priority="9">
      <formula>$B6="Medio bajo"</formula>
    </cfRule>
    <cfRule type="expression" dxfId="150" priority="10">
      <formula>$B6="Medio"</formula>
    </cfRule>
    <cfRule type="expression" dxfId="149" priority="11">
      <formula>$B6="Alto"</formula>
    </cfRule>
    <cfRule type="expression" dxfId="148" priority="12">
      <formula>$B6="Muy alto"</formula>
    </cfRule>
  </conditionalFormatting>
  <conditionalFormatting sqref="C17:C316">
    <cfRule type="expression" dxfId="147" priority="13">
      <formula>$C17="Sí"</formula>
    </cfRule>
    <cfRule type="expression" dxfId="146" priority="14">
      <formula>$C17="No"</formula>
    </cfRule>
  </conditionalFormatting>
  <dataValidations count="3">
    <dataValidation type="list" allowBlank="1" showErrorMessage="1" errorTitle="Finalizado" error="Elige Sí o No." sqref="C17:C316" xr:uid="{00000000-0002-0000-3A00-000000000000}">
      <formula1>"Sí,No"</formula1>
    </dataValidation>
    <dataValidation type="list" errorStyle="warning" allowBlank="1" showErrorMessage="1" errorTitle="Responsable" error="Ese nombre no está en la lista. ¿Lo dejas igualmente?" sqref="D17:D316" xr:uid="{00000000-0002-0000-3A00-000001000000}">
      <formula1>"Joaquin,Matthew,Jorge,Flavia,Lucia,José"</formula1>
    </dataValidation>
    <dataValidation type="decimal" operator="greaterThanOrEqual" allowBlank="1" showErrorMessage="1" errorTitle="Tiempo" error="Escribe solo el número de minutos, por ejemplo 30." sqref="E17:F316" xr:uid="{00000000-0002-0000-3A00-000002000000}">
      <formula1>0</formula1>
    </dataValidation>
  </dataValidations>
  <hyperlinks>
    <hyperlink ref="F1" location="'Índice'!A1" tooltip="Volver al índice" xr:uid="{00000000-0004-0000-3A00-000000000000}"/>
  </hyperlinks>
  <pageMargins left="0.75" right="0.75" top="1" bottom="1" header="0.5" footer="0.5"/>
  <pageSetup fitToHeight="0" orientation="landscape"/>
  <tableParts count="1">
    <tablePart r:id="rId1"/>
  </tableParts>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pageSetUpPr fitToPage="1"/>
  </sheetPr>
  <dimension ref="A1:F24"/>
  <sheetViews>
    <sheetView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CS-59 · CREAR UNA CUENTA</v>
      </c>
      <c r="B1" s="32"/>
      <c r="C1" s="32"/>
      <c r="D1" s="32"/>
      <c r="E1" s="32"/>
      <c r="F1" s="7" t="s">
        <v>147</v>
      </c>
    </row>
    <row r="2" spans="1:6" ht="18" customHeight="1">
      <c r="A2" s="8" t="s">
        <v>3</v>
      </c>
      <c r="B2" s="30" t="s">
        <v>135</v>
      </c>
      <c r="C2" s="33"/>
      <c r="D2" s="33"/>
      <c r="E2" s="33"/>
      <c r="F2" s="33"/>
    </row>
    <row r="3" spans="1:6" ht="15" customHeight="1">
      <c r="A3" s="8" t="s">
        <v>4</v>
      </c>
      <c r="B3" s="29" t="str">
        <f>IFERROR(INDEX(Historias[Título],MATCH($B$2,Historias[Ref],0))&amp;"","")</f>
        <v>CREAR UNA CUENTA</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4</v>
      </c>
      <c r="C7" s="33"/>
      <c r="D7" s="33"/>
      <c r="E7" s="33"/>
      <c r="F7" s="33"/>
    </row>
    <row r="8" spans="1:6" ht="15" customHeight="1">
      <c r="A8" s="8" t="s">
        <v>8</v>
      </c>
      <c r="B8" s="26">
        <f>SUMIFS(F:F,A:A,"&gt;0")/60</f>
        <v>0.5</v>
      </c>
      <c r="C8" s="33"/>
      <c r="D8" s="33"/>
      <c r="E8" s="33"/>
      <c r="F8" s="33"/>
    </row>
    <row r="9" spans="1:6" ht="18" customHeight="1">
      <c r="A9" s="8" t="s">
        <v>148</v>
      </c>
      <c r="B9" s="27" t="s">
        <v>244</v>
      </c>
      <c r="C9" s="33"/>
      <c r="D9" s="33"/>
      <c r="E9" s="33"/>
      <c r="F9" s="33"/>
    </row>
    <row r="10" spans="1:6" ht="18" customHeight="1">
      <c r="A10" s="8" t="s">
        <v>150</v>
      </c>
      <c r="B10" s="28">
        <v>46296</v>
      </c>
      <c r="C10" s="33"/>
      <c r="D10" s="33"/>
      <c r="E10" s="33"/>
      <c r="F10" s="33"/>
    </row>
    <row r="11" spans="1:6" ht="18" customHeight="1">
      <c r="A11" s="8" t="s">
        <v>151</v>
      </c>
      <c r="B11" s="27" t="s">
        <v>110</v>
      </c>
      <c r="C11" s="33"/>
      <c r="D11" s="33"/>
      <c r="E11" s="33"/>
      <c r="F11" s="33"/>
    </row>
    <row r="12" spans="1:6" ht="48" customHeight="1">
      <c r="A12" s="8" t="s">
        <v>153</v>
      </c>
      <c r="B12" s="27" t="s">
        <v>391</v>
      </c>
      <c r="C12" s="33"/>
      <c r="D12" s="33"/>
      <c r="E12" s="33"/>
      <c r="F12" s="33"/>
    </row>
    <row r="13" spans="1:6" ht="78" customHeight="1">
      <c r="A13" s="8" t="s">
        <v>155</v>
      </c>
      <c r="B13" s="27" t="s">
        <v>392</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IF(Obj_CS59[[#This Row],[Descripción]]="","",ROW()-ROW(Obj_CS59[[#Headers],[Objetivo]]))</f>
        <v>1</v>
      </c>
      <c r="B17" s="11" t="s">
        <v>393</v>
      </c>
      <c r="C17" s="5" t="s">
        <v>165</v>
      </c>
      <c r="D17" s="5"/>
      <c r="E17" s="12"/>
      <c r="F17" s="12"/>
    </row>
    <row r="18" spans="1:6" ht="33" customHeight="1">
      <c r="A18" s="10">
        <f>IF(Obj_CS59[[#This Row],[Descripción]]="","",ROW()-ROW(Obj_CS59[[#Headers],[Objetivo]]))</f>
        <v>2</v>
      </c>
      <c r="B18" s="11" t="s">
        <v>394</v>
      </c>
      <c r="C18" s="5" t="s">
        <v>165</v>
      </c>
      <c r="D18" s="5"/>
      <c r="E18" s="12"/>
      <c r="F18" s="12"/>
    </row>
    <row r="19" spans="1:6" ht="33" customHeight="1">
      <c r="A19" s="10">
        <f>IF(Obj_CS59[[#This Row],[Descripción]]="","",ROW()-ROW(Obj_CS59[[#Headers],[Objetivo]]))</f>
        <v>3</v>
      </c>
      <c r="B19" s="11" t="s">
        <v>395</v>
      </c>
      <c r="C19" s="5" t="s">
        <v>165</v>
      </c>
      <c r="D19" s="5"/>
      <c r="E19" s="12"/>
      <c r="F19" s="12"/>
    </row>
    <row r="20" spans="1:6" ht="33" customHeight="1">
      <c r="A20" s="10">
        <f>IF(Obj_CS59[[#This Row],[Descripción]]="","",ROW()-ROW(Obj_CS59[[#Headers],[Objetivo]]))</f>
        <v>4</v>
      </c>
      <c r="B20" s="11" t="s">
        <v>396</v>
      </c>
      <c r="C20" s="5" t="s">
        <v>165</v>
      </c>
      <c r="D20" s="5"/>
      <c r="E20" s="12"/>
      <c r="F20" s="12">
        <v>30</v>
      </c>
    </row>
    <row r="21" spans="1:6" ht="33" customHeight="1">
      <c r="A21" s="10">
        <f>IF(Obj_CS59[[#This Row],[Descripción]]="","",ROW()-ROW(Obj_CS59[[#Headers],[Objetivo]]))</f>
        <v>5</v>
      </c>
      <c r="B21" s="11" t="s">
        <v>397</v>
      </c>
      <c r="C21" s="5" t="s">
        <v>165</v>
      </c>
      <c r="D21" s="5"/>
      <c r="E21" s="12">
        <v>5</v>
      </c>
      <c r="F21" s="12"/>
    </row>
    <row r="22" spans="1:6" ht="33" customHeight="1">
      <c r="A22" s="10">
        <f>IF(Obj_CS59[[#This Row],[Descripción]]="","",ROW()-ROW(Obj_CS59[[#Headers],[Objetivo]]))</f>
        <v>6</v>
      </c>
      <c r="B22" s="11" t="s">
        <v>398</v>
      </c>
      <c r="C22" s="5" t="s">
        <v>165</v>
      </c>
      <c r="D22" s="5"/>
      <c r="E22" s="12">
        <v>5</v>
      </c>
      <c r="F22" s="12"/>
    </row>
    <row r="23" spans="1:6" ht="33" customHeight="1">
      <c r="A23" s="10">
        <f>IF(Obj_CS59[[#This Row],[Descripción]]="","",ROW()-ROW(Obj_CS59[[#Headers],[Objetivo]]))</f>
        <v>7</v>
      </c>
      <c r="B23" s="11" t="s">
        <v>399</v>
      </c>
      <c r="C23" s="5" t="s">
        <v>165</v>
      </c>
      <c r="D23" s="5"/>
      <c r="E23" s="12">
        <v>5</v>
      </c>
      <c r="F23" s="12"/>
    </row>
    <row r="24" spans="1:6">
      <c r="A24" s="21" t="s">
        <v>470</v>
      </c>
      <c r="B24" s="18"/>
      <c r="C24" s="22"/>
      <c r="D24" s="22"/>
      <c r="E24" s="23">
        <f>SUBTOTAL(109,Obj_CS59[Tiempo estimado])</f>
        <v>15</v>
      </c>
      <c r="F24" s="23">
        <f>SUBTOTAL(109,Obj_CS59[Tiempo total])</f>
        <v>30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45" priority="1">
      <formula>$B4="En progreso"</formula>
    </cfRule>
    <cfRule type="expression" dxfId="144" priority="2">
      <formula>$B4="En espera"</formula>
    </cfRule>
    <cfRule type="expression" dxfId="143" priority="3">
      <formula>$B4="Finalizada"</formula>
    </cfRule>
    <cfRule type="expression" dxfId="142" priority="4">
      <formula>$B4="Sin página"</formula>
    </cfRule>
  </conditionalFormatting>
  <conditionalFormatting sqref="B5">
    <cfRule type="expression" dxfId="141" priority="5">
      <formula>$B5="I"</formula>
    </cfRule>
    <cfRule type="expression" dxfId="140" priority="6">
      <formula>$B5="N"</formula>
    </cfRule>
    <cfRule type="expression" dxfId="139" priority="7">
      <formula>$B5="M"</formula>
    </cfRule>
  </conditionalFormatting>
  <conditionalFormatting sqref="B6">
    <cfRule type="expression" dxfId="138" priority="8">
      <formula>$B6="Bajo"</formula>
    </cfRule>
    <cfRule type="expression" dxfId="137" priority="9">
      <formula>$B6="Medio bajo"</formula>
    </cfRule>
    <cfRule type="expression" dxfId="136" priority="10">
      <formula>$B6="Medio"</formula>
    </cfRule>
    <cfRule type="expression" dxfId="135" priority="11">
      <formula>$B6="Alto"</formula>
    </cfRule>
    <cfRule type="expression" dxfId="134" priority="12">
      <formula>$B6="Muy alto"</formula>
    </cfRule>
  </conditionalFormatting>
  <conditionalFormatting sqref="C17:C316">
    <cfRule type="expression" dxfId="133" priority="13">
      <formula>$C17="Sí"</formula>
    </cfRule>
    <cfRule type="expression" dxfId="132" priority="14">
      <formula>$C17="No"</formula>
    </cfRule>
  </conditionalFormatting>
  <dataValidations count="3">
    <dataValidation type="list" allowBlank="1" showErrorMessage="1" errorTitle="Finalizado" error="Elige Sí o No." sqref="C17:C316" xr:uid="{00000000-0002-0000-3B00-000000000000}">
      <formula1>"Sí,No"</formula1>
    </dataValidation>
    <dataValidation type="list" errorStyle="warning" allowBlank="1" showErrorMessage="1" errorTitle="Responsable" error="Ese nombre no está en la lista. ¿Lo dejas igualmente?" sqref="D17:D316" xr:uid="{00000000-0002-0000-3B00-000001000000}">
      <formula1>"Joaquin,Matthew,Jorge,Flavia,Lucia,José"</formula1>
    </dataValidation>
    <dataValidation type="decimal" operator="greaterThanOrEqual" allowBlank="1" showErrorMessage="1" errorTitle="Tiempo" error="Escribe solo el número de minutos, por ejemplo 30." sqref="E17:F316" xr:uid="{00000000-0002-0000-3B00-000002000000}">
      <formula1>0</formula1>
    </dataValidation>
  </dataValidations>
  <hyperlinks>
    <hyperlink ref="F1" location="'Índice'!A1" tooltip="Volver al índice" xr:uid="{00000000-0004-0000-3B00-000000000000}"/>
  </hyperlinks>
  <pageMargins left="0.75" right="0.75" top="1" bottom="1" header="0.5" footer="0.5"/>
  <pageSetup fitToHeight="0" orientation="landscape"/>
  <tableParts count="1">
    <tablePart r:id="rId1"/>
  </tableParts>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pageSetUpPr fitToPage="1"/>
  </sheetPr>
  <dimension ref="A1:F28"/>
  <sheetViews>
    <sheetView topLeftCell="A5" workbookViewId="0">
      <selection activeCell="C21" sqref="C2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CS-60 · ORGANIZACIÓN INTERNA</v>
      </c>
      <c r="B1" s="32"/>
      <c r="C1" s="32"/>
      <c r="D1" s="32"/>
      <c r="E1" s="32"/>
      <c r="F1" s="7" t="s">
        <v>147</v>
      </c>
    </row>
    <row r="2" spans="1:6" ht="18" customHeight="1">
      <c r="A2" s="8" t="s">
        <v>3</v>
      </c>
      <c r="B2" s="30" t="s">
        <v>137</v>
      </c>
      <c r="C2" s="33"/>
      <c r="D2" s="33"/>
      <c r="E2" s="33"/>
      <c r="F2" s="33"/>
    </row>
    <row r="3" spans="1:6" ht="15" customHeight="1">
      <c r="A3" s="8" t="s">
        <v>4</v>
      </c>
      <c r="B3" s="29" t="str">
        <f>IFERROR(INDEX(Historias[Título],MATCH($B$2,Historias[Ref],0))&amp;"","")</f>
        <v>ORGANIZACIÓN INTERNA</v>
      </c>
      <c r="C3" s="33"/>
      <c r="D3" s="33"/>
      <c r="E3" s="33"/>
      <c r="F3" s="33"/>
    </row>
    <row r="4" spans="1:6" ht="15" customHeight="1">
      <c r="A4" s="8" t="s">
        <v>9</v>
      </c>
      <c r="B4" s="29" t="str">
        <f ca="1">IFERROR(INDEX(Historias[Estado],MATCH($B$2,Historias[Ref],0))&amp;"","")</f>
        <v>Finalizada</v>
      </c>
      <c r="C4" s="33"/>
      <c r="D4" s="33"/>
      <c r="E4" s="33"/>
      <c r="F4" s="33"/>
    </row>
    <row r="5" spans="1:6" ht="15" customHeight="1">
      <c r="A5" s="8" t="s">
        <v>6</v>
      </c>
      <c r="B5" s="29" t="str">
        <f>IFERROR(INDEX(Historias[Prioridad],MATCH($B$2,Historias[Ref],0))&amp;"","")</f>
        <v>I</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2.9166666666666665</v>
      </c>
      <c r="C8" s="33"/>
      <c r="D8" s="33"/>
      <c r="E8" s="33"/>
      <c r="F8" s="33"/>
    </row>
    <row r="9" spans="1:6" ht="18" customHeight="1">
      <c r="A9" s="8" t="s">
        <v>148</v>
      </c>
      <c r="B9" s="27" t="s">
        <v>244</v>
      </c>
      <c r="C9" s="33"/>
      <c r="D9" s="33"/>
      <c r="E9" s="33"/>
      <c r="F9" s="33"/>
    </row>
    <row r="10" spans="1:6" ht="18" customHeight="1">
      <c r="A10" s="8" t="s">
        <v>150</v>
      </c>
      <c r="B10" s="28">
        <v>46297</v>
      </c>
      <c r="C10" s="33"/>
      <c r="D10" s="33"/>
      <c r="E10" s="33"/>
      <c r="F10" s="33"/>
    </row>
    <row r="11" spans="1:6" ht="15" customHeight="1">
      <c r="A11" s="8" t="s">
        <v>151</v>
      </c>
      <c r="B11" s="27"/>
      <c r="C11" s="33"/>
      <c r="D11" s="33"/>
      <c r="E11" s="33"/>
      <c r="F11" s="33"/>
    </row>
    <row r="12" spans="1:6" ht="45" customHeight="1">
      <c r="A12" s="8" t="s">
        <v>153</v>
      </c>
      <c r="B12" s="27" t="s">
        <v>400</v>
      </c>
      <c r="C12" s="33"/>
      <c r="D12" s="33"/>
      <c r="E12" s="33"/>
      <c r="F12" s="33"/>
    </row>
    <row r="13" spans="1:6" ht="45" customHeight="1">
      <c r="A13" s="8" t="s">
        <v>155</v>
      </c>
      <c r="B13" s="27"/>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6">
        <f>IF(Obj_CS60[[#This Row],[Descripción]]="","",ROW()-ROW(Obj_CS60[[#Headers],[Objetivo]]))</f>
        <v>1</v>
      </c>
      <c r="B17" s="11" t="s">
        <v>401</v>
      </c>
      <c r="C17" s="14" t="s">
        <v>165</v>
      </c>
      <c r="D17" s="14" t="s">
        <v>244</v>
      </c>
      <c r="E17" s="15">
        <v>30</v>
      </c>
      <c r="F17" s="15">
        <v>75</v>
      </c>
    </row>
    <row r="18" spans="1:6">
      <c r="A18" s="16">
        <f>IF(Obj_CS60[[#This Row],[Descripción]]="","",ROW()-ROW(Obj_CS60[[#Headers],[Objetivo]]))</f>
        <v>2</v>
      </c>
      <c r="B18" s="11" t="s">
        <v>402</v>
      </c>
      <c r="C18" s="14" t="s">
        <v>165</v>
      </c>
      <c r="D18" s="14" t="s">
        <v>149</v>
      </c>
      <c r="E18" s="15">
        <v>0</v>
      </c>
      <c r="F18" s="15"/>
    </row>
    <row r="19" spans="1:6" ht="78" customHeight="1">
      <c r="A19" s="16">
        <f>IF(Obj_CS60[[#This Row],[Descripción]]="","",ROW()-ROW(Obj_CS60[[#Headers],[Objetivo]]))</f>
        <v>3</v>
      </c>
      <c r="B19" s="11" t="s">
        <v>403</v>
      </c>
      <c r="C19" s="14" t="s">
        <v>165</v>
      </c>
      <c r="D19" s="14" t="s">
        <v>244</v>
      </c>
      <c r="E19" s="15">
        <v>0</v>
      </c>
      <c r="F19" s="15">
        <v>60</v>
      </c>
    </row>
    <row r="20" spans="1:6">
      <c r="A20" s="16">
        <f>IF(Obj_CS60[[#This Row],[Descripción]]="","",ROW()-ROW(Obj_CS60[[#Headers],[Objetivo]]))</f>
        <v>4</v>
      </c>
      <c r="B20" s="11" t="s">
        <v>404</v>
      </c>
      <c r="C20" s="14" t="s">
        <v>165</v>
      </c>
      <c r="D20" s="14" t="s">
        <v>244</v>
      </c>
      <c r="E20" s="15">
        <v>15</v>
      </c>
      <c r="F20" s="15">
        <v>20</v>
      </c>
    </row>
    <row r="21" spans="1:6">
      <c r="A21" s="17">
        <f>IF(Obj_CS60[[#This Row],[Descripción]]="","",ROW()-ROW(Obj_CS60[[#Headers],[Objetivo]]))</f>
        <v>5</v>
      </c>
      <c r="B21" s="18" t="s">
        <v>405</v>
      </c>
      <c r="C21" s="19" t="s">
        <v>165</v>
      </c>
      <c r="D21" s="19" t="s">
        <v>244</v>
      </c>
      <c r="E21" s="20">
        <v>10</v>
      </c>
      <c r="F21" s="20">
        <v>20</v>
      </c>
    </row>
    <row r="22" spans="1:6">
      <c r="A22" s="17" t="s">
        <v>470</v>
      </c>
      <c r="B22" s="18"/>
      <c r="C22" s="19"/>
      <c r="D22" s="19"/>
      <c r="E22" s="20">
        <f>SUBTOTAL(109,Obj_CS60[Tiempo estimado])</f>
        <v>55</v>
      </c>
      <c r="F22" s="20">
        <f>SUBTOTAL(109,Obj_CS60[Tiempo total])</f>
        <v>175</v>
      </c>
    </row>
    <row r="23" spans="1:6">
      <c r="A23" s="16"/>
      <c r="B23" s="11"/>
      <c r="C23" s="14"/>
      <c r="D23" s="14"/>
      <c r="E23" s="15"/>
      <c r="F23" s="15"/>
    </row>
    <row r="24" spans="1:6">
      <c r="A24" s="16"/>
      <c r="B24" s="11"/>
      <c r="C24" s="14"/>
      <c r="D24" s="14"/>
      <c r="E24" s="15"/>
      <c r="F24" s="15"/>
    </row>
    <row r="25" spans="1:6">
      <c r="A25" s="16"/>
      <c r="B25" s="11"/>
      <c r="C25" s="14"/>
      <c r="D25" s="14"/>
      <c r="E25" s="15"/>
      <c r="F25" s="15"/>
    </row>
    <row r="26" spans="1:6">
      <c r="A26" s="16"/>
      <c r="B26" s="11"/>
      <c r="C26" s="14"/>
      <c r="D26" s="14"/>
      <c r="E26" s="15"/>
      <c r="F26" s="15"/>
    </row>
    <row r="27" spans="1:6">
      <c r="A27" s="16"/>
      <c r="B27" s="11"/>
      <c r="C27" s="14"/>
      <c r="D27" s="14"/>
      <c r="E27" s="15"/>
      <c r="F27" s="15"/>
    </row>
    <row r="28" spans="1:6">
      <c r="A28" s="16"/>
      <c r="B28" s="11"/>
      <c r="C28" s="14"/>
      <c r="D28" s="14"/>
      <c r="E28" s="15"/>
      <c r="F28" s="15"/>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31" priority="3">
      <formula>$B4="En progreso"</formula>
    </cfRule>
    <cfRule type="expression" dxfId="130" priority="4">
      <formula>$B4="En espera"</formula>
    </cfRule>
    <cfRule type="expression" dxfId="129" priority="5">
      <formula>$B4="Finalizada"</formula>
    </cfRule>
    <cfRule type="expression" dxfId="128" priority="6">
      <formula>$B4="Sin página"</formula>
    </cfRule>
  </conditionalFormatting>
  <conditionalFormatting sqref="B5">
    <cfRule type="expression" dxfId="127" priority="7">
      <formula>$B5="I"</formula>
    </cfRule>
    <cfRule type="expression" dxfId="126" priority="8">
      <formula>$B5="N"</formula>
    </cfRule>
    <cfRule type="expression" dxfId="125" priority="9">
      <formula>$B5="M"</formula>
    </cfRule>
  </conditionalFormatting>
  <conditionalFormatting sqref="B6">
    <cfRule type="expression" dxfId="124" priority="10">
      <formula>$B6="Bajo"</formula>
    </cfRule>
    <cfRule type="expression" dxfId="123" priority="11">
      <formula>$B6="Medio bajo"</formula>
    </cfRule>
    <cfRule type="expression" dxfId="122" priority="12">
      <formula>$B6="Medio"</formula>
    </cfRule>
    <cfRule type="expression" dxfId="121" priority="13">
      <formula>$B6="Alto"</formula>
    </cfRule>
    <cfRule type="expression" dxfId="120" priority="14">
      <formula>$B6="Muy alto"</formula>
    </cfRule>
  </conditionalFormatting>
  <conditionalFormatting sqref="C29:C316">
    <cfRule type="expression" dxfId="119" priority="15">
      <formula>$C29="Sí"</formula>
    </cfRule>
    <cfRule type="expression" dxfId="118" priority="16">
      <formula>$C29="No"</formula>
    </cfRule>
  </conditionalFormatting>
  <conditionalFormatting sqref="C17:C28">
    <cfRule type="expression" dxfId="117" priority="1">
      <formula>$C17="Sí"</formula>
    </cfRule>
    <cfRule type="expression" dxfId="116" priority="2">
      <formula>$C17="No"</formula>
    </cfRule>
  </conditionalFormatting>
  <dataValidations count="3">
    <dataValidation type="list" allowBlank="1" showErrorMessage="1" errorTitle="Finalizado" error="Elige Sí o No." sqref="C17:C316" xr:uid="{00000000-0002-0000-3C00-000000000000}">
      <formula1>"Sí,No"</formula1>
    </dataValidation>
    <dataValidation type="list" errorStyle="warning" allowBlank="1" showErrorMessage="1" errorTitle="Responsable" error="Ese nombre no está en la lista. ¿Lo dejas igualmente?" sqref="D17:D316" xr:uid="{00000000-0002-0000-3C00-000001000000}">
      <formula1>"Joaquin,Matthew,Jorge,Flavia,Lucia,José"</formula1>
    </dataValidation>
    <dataValidation type="decimal" operator="greaterThanOrEqual" allowBlank="1" showErrorMessage="1" errorTitle="Tiempo" error="Escribe solo el número de minutos, por ejemplo 30." sqref="E17:F316" xr:uid="{00000000-0002-0000-3C00-000002000000}">
      <formula1>0</formula1>
    </dataValidation>
  </dataValidations>
  <hyperlinks>
    <hyperlink ref="F1" location="'Índice'!A1" tooltip="Volver al índice" xr:uid="{00000000-0004-0000-3C00-000000000000}"/>
  </hyperlinks>
  <pageMargins left="0.75" right="0.75" top="1" bottom="1" header="0.5" footer="0.5"/>
  <pageSetup fitToHeight="0" orientation="landscape"/>
  <tableParts count="1">
    <tablePart r:id="rId1"/>
  </tableParts>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F8A33-5964-4304-86E5-37A892FCAF23}">
  <sheetPr>
    <pageSetUpPr fitToPage="1"/>
  </sheetPr>
  <dimension ref="A1:F33"/>
  <sheetViews>
    <sheetView topLeftCell="A14" workbookViewId="0"/>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CS-61 · AMISTADES Y SEGUIDORES</v>
      </c>
      <c r="B1" s="32"/>
      <c r="C1" s="32"/>
      <c r="D1" s="32"/>
      <c r="E1" s="32"/>
      <c r="F1" s="7" t="s">
        <v>147</v>
      </c>
    </row>
    <row r="2" spans="1:6" ht="15" customHeight="1">
      <c r="A2" s="8" t="s">
        <v>3</v>
      </c>
      <c r="B2" s="30" t="s">
        <v>139</v>
      </c>
      <c r="C2" s="33"/>
      <c r="D2" s="33"/>
      <c r="E2" s="33"/>
      <c r="F2" s="33"/>
    </row>
    <row r="3" spans="1:6" ht="15" customHeight="1">
      <c r="A3" s="8" t="s">
        <v>4</v>
      </c>
      <c r="B3" s="29" t="str">
        <f>IFERROR(INDEX(Historias[Título],MATCH($B$2,Historias[Ref],0))&amp;"","")</f>
        <v>AMISTADES Y SEGUIDORES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2</v>
      </c>
      <c r="C7" s="33"/>
      <c r="D7" s="33"/>
      <c r="E7" s="33"/>
      <c r="F7" s="33"/>
    </row>
    <row r="8" spans="1:6" ht="15" customHeight="1">
      <c r="A8" s="8" t="s">
        <v>8</v>
      </c>
      <c r="B8" s="26">
        <f>SUMIFS(F:F,A:A,"&gt;0")/60</f>
        <v>1.1083333333333334</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406</v>
      </c>
      <c r="C11" s="33"/>
      <c r="D11" s="33"/>
      <c r="E11" s="33"/>
      <c r="F11" s="33"/>
    </row>
    <row r="12" spans="1:6" ht="78" customHeight="1">
      <c r="A12" s="8" t="s">
        <v>153</v>
      </c>
      <c r="B12" s="27" t="s">
        <v>407</v>
      </c>
      <c r="C12" s="33"/>
      <c r="D12" s="33"/>
      <c r="E12" s="33"/>
      <c r="F12" s="33"/>
    </row>
    <row r="13" spans="1:6" ht="123" customHeight="1">
      <c r="A13" s="8" t="s">
        <v>155</v>
      </c>
      <c r="B13" s="27" t="s">
        <v>408</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48" customHeight="1">
      <c r="A17" s="16">
        <f>IF(Obj_CS61[[#This Row],[Descripción]]="","",ROW()-ROW(Obj_CS61[[#Headers],[Objetivo]]))</f>
        <v>1</v>
      </c>
      <c r="B17" s="11" t="s">
        <v>409</v>
      </c>
      <c r="C17" s="14" t="s">
        <v>165</v>
      </c>
      <c r="D17" s="14" t="s">
        <v>244</v>
      </c>
      <c r="E17" s="15">
        <v>20</v>
      </c>
      <c r="F17" s="15">
        <v>18</v>
      </c>
    </row>
    <row r="18" spans="1:6" ht="33" customHeight="1">
      <c r="A18" s="16">
        <f>IF(Obj_CS61[[#This Row],[Descripción]]="","",ROW()-ROW(Obj_CS61[[#Headers],[Objetivo]]))</f>
        <v>2</v>
      </c>
      <c r="B18" s="11" t="s">
        <v>410</v>
      </c>
      <c r="C18" s="14" t="s">
        <v>165</v>
      </c>
      <c r="D18" s="14" t="s">
        <v>244</v>
      </c>
      <c r="E18" s="15">
        <v>10</v>
      </c>
      <c r="F18" s="15">
        <v>6</v>
      </c>
    </row>
    <row r="19" spans="1:6" ht="48" customHeight="1">
      <c r="A19" s="16">
        <f>IF(Obj_CS61[[#This Row],[Descripción]]="","",ROW()-ROW(Obj_CS61[[#Headers],[Objetivo]]))</f>
        <v>3</v>
      </c>
      <c r="B19" s="11" t="s">
        <v>411</v>
      </c>
      <c r="C19" s="14" t="s">
        <v>165</v>
      </c>
      <c r="D19" s="14" t="s">
        <v>244</v>
      </c>
      <c r="E19" s="15">
        <v>15</v>
      </c>
      <c r="F19" s="15">
        <v>3</v>
      </c>
    </row>
    <row r="20" spans="1:6" ht="33" customHeight="1">
      <c r="A20" s="16">
        <f>IF(Obj_CS61[[#This Row],[Descripción]]="","",ROW()-ROW(Obj_CS61[[#Headers],[Objetivo]]))</f>
        <v>4</v>
      </c>
      <c r="B20" s="11" t="s">
        <v>412</v>
      </c>
      <c r="C20" s="14" t="s">
        <v>165</v>
      </c>
      <c r="D20" s="14" t="s">
        <v>244</v>
      </c>
      <c r="E20" s="15">
        <v>15</v>
      </c>
      <c r="F20" s="15">
        <v>2</v>
      </c>
    </row>
    <row r="21" spans="1:6" ht="33" customHeight="1">
      <c r="A21" s="16">
        <f>IF(Obj_CS61[[#This Row],[Descripción]]="","",ROW()-ROW(Obj_CS61[[#Headers],[Objetivo]]))</f>
        <v>5</v>
      </c>
      <c r="B21" s="11" t="s">
        <v>413</v>
      </c>
      <c r="C21" s="14" t="s">
        <v>165</v>
      </c>
      <c r="D21" s="14" t="s">
        <v>244</v>
      </c>
      <c r="E21" s="15">
        <v>15</v>
      </c>
      <c r="F21" s="15">
        <v>2.5</v>
      </c>
    </row>
    <row r="22" spans="1:6" ht="33" customHeight="1">
      <c r="A22" s="16">
        <f>IF(Obj_CS61[[#This Row],[Descripción]]="","",ROW()-ROW(Obj_CS61[[#Headers],[Objetivo]]))</f>
        <v>6</v>
      </c>
      <c r="B22" s="11" t="s">
        <v>414</v>
      </c>
      <c r="C22" s="14" t="s">
        <v>165</v>
      </c>
      <c r="D22" s="14" t="s">
        <v>244</v>
      </c>
      <c r="E22" s="15">
        <v>15</v>
      </c>
      <c r="F22" s="15">
        <v>6</v>
      </c>
    </row>
    <row r="23" spans="1:6" ht="33" customHeight="1">
      <c r="A23" s="16">
        <f>IF(Obj_CS61[[#This Row],[Descripción]]="","",ROW()-ROW(Obj_CS61[[#Headers],[Objetivo]]))</f>
        <v>7</v>
      </c>
      <c r="B23" s="11" t="s">
        <v>415</v>
      </c>
      <c r="C23" s="14" t="s">
        <v>165</v>
      </c>
      <c r="D23" s="14" t="s">
        <v>244</v>
      </c>
      <c r="E23" s="15">
        <v>10</v>
      </c>
      <c r="F23" s="15">
        <v>7</v>
      </c>
    </row>
    <row r="24" spans="1:6" ht="33" customHeight="1">
      <c r="A24" s="16">
        <f>IF(Obj_CS61[[#This Row],[Descripción]]="","",ROW()-ROW(Obj_CS61[[#Headers],[Objetivo]]))</f>
        <v>8</v>
      </c>
      <c r="B24" s="11" t="s">
        <v>416</v>
      </c>
      <c r="C24" s="14" t="s">
        <v>165</v>
      </c>
      <c r="D24" s="14" t="s">
        <v>244</v>
      </c>
      <c r="E24" s="15">
        <v>15</v>
      </c>
      <c r="F24" s="15">
        <v>4</v>
      </c>
    </row>
    <row r="25" spans="1:6" ht="33" customHeight="1">
      <c r="A25" s="16">
        <f>IF(Obj_CS61[[#This Row],[Descripción]]="","",ROW()-ROW(Obj_CS61[[#Headers],[Objetivo]]))</f>
        <v>9</v>
      </c>
      <c r="B25" s="11" t="s">
        <v>417</v>
      </c>
      <c r="C25" s="14" t="s">
        <v>165</v>
      </c>
      <c r="D25" s="14" t="s">
        <v>244</v>
      </c>
      <c r="E25" s="15">
        <v>10</v>
      </c>
      <c r="F25" s="15">
        <v>2</v>
      </c>
    </row>
    <row r="26" spans="1:6" ht="33" customHeight="1">
      <c r="A26" s="16">
        <f>IF(Obj_CS61[[#This Row],[Descripción]]="","",ROW()-ROW(Obj_CS61[[#Headers],[Objetivo]]))</f>
        <v>10</v>
      </c>
      <c r="B26" s="11" t="s">
        <v>418</v>
      </c>
      <c r="C26" s="14" t="s">
        <v>165</v>
      </c>
      <c r="D26" s="14" t="s">
        <v>244</v>
      </c>
      <c r="E26" s="15">
        <v>20</v>
      </c>
      <c r="F26" s="15">
        <v>9</v>
      </c>
    </row>
    <row r="27" spans="1:6" ht="33" customHeight="1">
      <c r="A27" s="16">
        <f>IF(Obj_CS61[[#This Row],[Descripción]]="","",ROW()-ROW(Obj_CS61[[#Headers],[Objetivo]]))</f>
        <v>11</v>
      </c>
      <c r="B27" s="11" t="s">
        <v>419</v>
      </c>
      <c r="C27" s="14" t="s">
        <v>165</v>
      </c>
      <c r="D27" s="14" t="s">
        <v>244</v>
      </c>
      <c r="E27" s="15">
        <v>30</v>
      </c>
      <c r="F27" s="15">
        <v>7</v>
      </c>
    </row>
    <row r="28" spans="1:6" ht="33" customHeight="1">
      <c r="A28" s="16">
        <f>IF(Obj_CS61[[#This Row],[Descripción]]="","",ROW()-ROW(Obj_CS61[[#Headers],[Objetivo]]))</f>
        <v>12</v>
      </c>
      <c r="B28" s="11" t="s">
        <v>420</v>
      </c>
      <c r="C28" s="14" t="inlineStr">
        <is>
          <t>Sí</t>
        </is>
      </c>
      <c r="D28" s="14" t="s">
        <v>244</v>
      </c>
      <c r="E28" s="15">
        <v>30</v>
      </c>
      <c r="F28" s="15">
        <v>12</v>
      </c>
    </row>
    <row r="29" spans="1:6" ht="33" customHeight="1">
      <c r="A29" s="16">
        <f>IF(Obj_CS61[[#This Row],[Descripción]]="","",ROW()-ROW(Obj_CS61[[#Headers],[Objetivo]]))</f>
        <v>13</v>
      </c>
      <c r="B29" s="11" t="s">
        <v>421</v>
      </c>
      <c r="C29" s="14" t="inlineStr">
        <is>
          <t>Sí</t>
        </is>
      </c>
      <c r="D29" s="14" t="s">
        <v>244</v>
      </c>
      <c r="E29" s="15">
        <v>15</v>
      </c>
      <c r="F29" s="15">
        <v>10</v>
      </c>
    </row>
    <row r="30" spans="1:6" ht="18" customHeight="1">
      <c r="A30" s="16">
        <f>IF(Obj_CS61[[#This Row],[Descripción]]="","",ROW()-ROW(Obj_CS61[[#Headers],[Objetivo]]))</f>
        <v>14</v>
      </c>
      <c r="B30" s="11" t="s">
        <v>422</v>
      </c>
      <c r="C30" s="14" t="inlineStr">
        <is>
          <t>Sí</t>
        </is>
      </c>
      <c r="D30" s="14" t="s">
        <v>244</v>
      </c>
      <c r="E30" s="15">
        <v>10</v>
      </c>
      <c r="F30" s="15">
        <v>4</v>
      </c>
    </row>
    <row r="31" spans="1:6" ht="33" customHeight="1">
      <c r="A31" s="16">
        <f>IF(Obj_CS61[[#This Row],[Descripción]]="","",ROW()-ROW(Obj_CS61[[#Headers],[Objetivo]]))</f>
        <v>15</v>
      </c>
      <c r="B31" s="11" t="s">
        <v>423</v>
      </c>
      <c r="C31" s="14" t="inlineStr">
        <is>
          <t>Sí</t>
        </is>
      </c>
      <c r="D31" s="14" t="s">
        <v>244</v>
      </c>
      <c r="E31" s="15">
        <v>20</v>
      </c>
      <c r="F31" s="15">
        <v>2</v>
      </c>
    </row>
    <row r="32" spans="1:6" ht="18" customHeight="1">
      <c r="A32" s="16">
        <f>IF(Obj_CS61[[#This Row],[Descripción]]="","",ROW()-ROW(Obj_CS61[[#Headers],[Objetivo]]))</f>
        <v>16</v>
      </c>
      <c r="B32" s="11" t="s">
        <v>424</v>
      </c>
      <c r="C32" s="14" t="inlineStr">
        <is>
          <t>Sí</t>
        </is>
      </c>
      <c r="D32" s="14" t="s">
        <v>244</v>
      </c>
      <c r="E32" s="15">
        <v>15</v>
      </c>
      <c r="F32" s="15">
        <v>12</v>
      </c>
    </row>
    <row r="33" spans="1:6">
      <c r="A33" s="17" t="s">
        <v>470</v>
      </c>
      <c r="B33" s="18"/>
      <c r="C33" s="19"/>
      <c r="D33" s="19"/>
      <c r="E33" s="20">
        <f>SUBTOTAL(109,Obj_CS61[Tiempo estimado])</f>
        <v>265</v>
      </c>
      <c r="F33" s="20">
        <f>SUBTOTAL(109,Obj_CS61[Tiempo total])</f>
        <v>66.5</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109" priority="5">
      <formula>$B4="En progreso"</formula>
    </cfRule>
    <cfRule type="expression" dxfId="108" priority="6">
      <formula>$B4="En espera"</formula>
    </cfRule>
    <cfRule type="expression" dxfId="107" priority="7">
      <formula>$B4="Finalizada"</formula>
    </cfRule>
    <cfRule type="expression" dxfId="106" priority="8">
      <formula>$B4="Sin página"</formula>
    </cfRule>
  </conditionalFormatting>
  <conditionalFormatting sqref="B5">
    <cfRule type="expression" dxfId="105" priority="9">
      <formula>$B5="I"</formula>
    </cfRule>
    <cfRule type="expression" dxfId="104" priority="10">
      <formula>$B5="N"</formula>
    </cfRule>
    <cfRule type="expression" dxfId="103" priority="11">
      <formula>$B5="M"</formula>
    </cfRule>
  </conditionalFormatting>
  <conditionalFormatting sqref="B6">
    <cfRule type="expression" dxfId="102" priority="12">
      <formula>$B6="Bajo"</formula>
    </cfRule>
    <cfRule type="expression" dxfId="101" priority="13">
      <formula>$B6="Medio bajo"</formula>
    </cfRule>
    <cfRule type="expression" dxfId="100" priority="14">
      <formula>$B6="Medio"</formula>
    </cfRule>
    <cfRule type="expression" dxfId="99" priority="15">
      <formula>$B6="Alto"</formula>
    </cfRule>
    <cfRule type="expression" dxfId="98" priority="16">
      <formula>$B6="Muy alto"</formula>
    </cfRule>
  </conditionalFormatting>
  <conditionalFormatting sqref="C33:C316">
    <cfRule type="expression" dxfId="97" priority="17">
      <formula>$C33="Sí"</formula>
    </cfRule>
    <cfRule type="expression" dxfId="96" priority="18">
      <formula>$C33="No"</formula>
    </cfRule>
  </conditionalFormatting>
  <conditionalFormatting sqref="C17:C32">
    <cfRule type="expression" dxfId="95" priority="1">
      <formula>$C17="Sí"</formula>
    </cfRule>
    <cfRule type="expression" dxfId="94" priority="2">
      <formula>$C17="No"</formula>
    </cfRule>
  </conditionalFormatting>
  <dataValidations count="3">
    <dataValidation type="list" allowBlank="1" showErrorMessage="1" errorTitle="Finalizado" error="Elige Sí o No." sqref="C17:C316" xr:uid="{85976233-A8E6-417D-95C9-0EA6C4FF2655}">
      <formula1>"Sí,No"</formula1>
    </dataValidation>
    <dataValidation type="list" errorStyle="warning" allowBlank="1" showErrorMessage="1" errorTitle="Responsable" error="Ese nombre no está en la lista. ¿Lo dejas igualmente?" sqref="D17:D316" xr:uid="{90219B30-2D7E-40C4-A522-9FB7C3B94728}">
      <formula1>"Joaquin,Matthew,Jorge,Flavia,Lucia,José"</formula1>
    </dataValidation>
    <dataValidation type="decimal" operator="greaterThanOrEqual" allowBlank="1" showErrorMessage="1" errorTitle="Tiempo" error="Escribe solo el número de minutos, por ejemplo 30." sqref="E17:F316" xr:uid="{1BFBF3A2-BE1F-487B-9F81-AE1464957510}">
      <formula1>0</formula1>
    </dataValidation>
  </dataValidations>
  <hyperlinks>
    <hyperlink ref="F1" location="'Índice'!A1" tooltip="Volver al índice" xr:uid="{0B30D863-1E89-45B3-B9C4-C28A6AADBFFA}"/>
  </hyperlinks>
  <pageMargins left="0.75" right="0.75" top="1" bottom="1" header="0.5" footer="0.5"/>
  <pageSetup fitToHeight="0" orientation="landscape"/>
  <tableParts count="1">
    <tablePart r:id="rId1"/>
  </tableParts>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1C8DD-A7C2-44E7-925A-F0F4D708B9D8}">
  <sheetPr>
    <pageSetUpPr fitToPage="1"/>
  </sheetPr>
  <dimension ref="A1:F29"/>
  <sheetViews>
    <sheetView topLeftCell="A13" workbookViewId="0">
      <selection activeCell="C21" sqref="C21"/>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CS-62 · PERFIL DE OTRO USUARIO</v>
      </c>
      <c r="B1" s="32"/>
      <c r="C1" s="32"/>
      <c r="D1" s="32"/>
      <c r="E1" s="32"/>
      <c r="F1" s="7" t="s">
        <v>147</v>
      </c>
    </row>
    <row r="2" spans="1:6" ht="15" customHeight="1">
      <c r="A2" s="8" t="s">
        <v>3</v>
      </c>
      <c r="B2" s="30" t="s">
        <v>141</v>
      </c>
      <c r="C2" s="33"/>
      <c r="D2" s="33"/>
      <c r="E2" s="33"/>
      <c r="F2" s="33"/>
    </row>
    <row r="3" spans="1:6" ht="15" customHeight="1">
      <c r="A3" s="8" t="s">
        <v>4</v>
      </c>
      <c r="B3" s="29" t="str">
        <f>IFERROR(INDEX(Historias[Título],MATCH($B$2,Historias[Ref],0))&amp;"","")</f>
        <v>PERFIL DE OTRO USUARIO</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Medio bajo</v>
      </c>
      <c r="C6" s="33"/>
      <c r="D6" s="33"/>
      <c r="E6" s="33"/>
      <c r="F6" s="33"/>
    </row>
    <row r="7" spans="1:6" ht="15" customHeight="1">
      <c r="A7" s="8" t="s">
        <v>7</v>
      </c>
      <c r="B7" s="26">
        <f>IFERROR(INDEX(Historias[Tiempo estimado],MATCH($B$2,Historias[Ref],0)),"")</f>
        <v>3</v>
      </c>
      <c r="C7" s="33"/>
      <c r="D7" s="33"/>
      <c r="E7" s="33"/>
      <c r="F7" s="33"/>
    </row>
    <row r="8" spans="1:6" ht="15" customHeight="1">
      <c r="A8" s="8" t="s">
        <v>8</v>
      </c>
      <c r="B8" s="26">
        <f>SUMIFS(F:F,A:A,"&gt;0")/60</f>
        <v>1.2</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425</v>
      </c>
      <c r="C11" s="33"/>
      <c r="D11" s="33"/>
      <c r="E11" s="33"/>
      <c r="F11" s="33"/>
    </row>
    <row r="12" spans="1:6" ht="63" customHeight="1">
      <c r="A12" s="8" t="s">
        <v>153</v>
      </c>
      <c r="B12" s="27" t="s">
        <v>426</v>
      </c>
      <c r="C12" s="33"/>
      <c r="D12" s="33"/>
      <c r="E12" s="33"/>
      <c r="F12" s="33"/>
    </row>
    <row r="13" spans="1:6" ht="123" customHeight="1">
      <c r="A13" s="8" t="s">
        <v>155</v>
      </c>
      <c r="B13" s="27" t="s">
        <v>427</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IF(Obj_CS62[[#This Row],[Descripción]]="","",ROW()-ROW(Obj_CS62[[#Headers],[Objetivo]]))</f>
        <v>1</v>
      </c>
      <c r="B17" s="11" t="s">
        <v>428</v>
      </c>
      <c r="C17" s="5" t="s">
        <v>165</v>
      </c>
      <c r="D17" s="5" t="s">
        <v>307</v>
      </c>
      <c r="E17" s="12">
        <v>10</v>
      </c>
      <c r="F17" s="12">
        <v>5</v>
      </c>
    </row>
    <row r="18" spans="1:6" ht="33" customHeight="1">
      <c r="A18" s="10">
        <f>IF(Obj_CS62[[#This Row],[Descripción]]="","",ROW()-ROW(Obj_CS62[[#Headers],[Objetivo]]))</f>
        <v>2</v>
      </c>
      <c r="B18" s="11" t="s">
        <v>429</v>
      </c>
      <c r="C18" s="5" t="s">
        <v>165</v>
      </c>
      <c r="D18" s="5" t="s">
        <v>307</v>
      </c>
      <c r="E18" s="12">
        <v>15</v>
      </c>
      <c r="F18" s="12">
        <v>6</v>
      </c>
    </row>
    <row r="19" spans="1:6" ht="18" customHeight="1">
      <c r="A19" s="10">
        <f>IF(Obj_CS62[[#This Row],[Descripción]]="","",ROW()-ROW(Obj_CS62[[#Headers],[Objetivo]]))</f>
        <v>3</v>
      </c>
      <c r="B19" s="11" t="s">
        <v>430</v>
      </c>
      <c r="C19" s="5" t="s">
        <v>165</v>
      </c>
      <c r="D19" s="5" t="s">
        <v>307</v>
      </c>
      <c r="E19" s="12">
        <v>15</v>
      </c>
      <c r="F19" s="12">
        <v>6</v>
      </c>
    </row>
    <row r="20" spans="1:6" ht="33" customHeight="1">
      <c r="A20" s="10">
        <f>IF(Obj_CS62[[#This Row],[Descripción]]="","",ROW()-ROW(Obj_CS62[[#Headers],[Objetivo]]))</f>
        <v>4</v>
      </c>
      <c r="B20" s="11" t="s">
        <v>431</v>
      </c>
      <c r="C20" s="5" t="s">
        <v>165</v>
      </c>
      <c r="D20" s="5" t="s">
        <v>307</v>
      </c>
      <c r="E20" s="12">
        <v>35</v>
      </c>
      <c r="F20" s="12">
        <v>17</v>
      </c>
    </row>
    <row r="21" spans="1:6" ht="33" customHeight="1">
      <c r="A21" s="10">
        <f>IF(Obj_CS62[[#This Row],[Descripción]]="","",ROW()-ROW(Obj_CS62[[#Headers],[Objetivo]]))</f>
        <v>5</v>
      </c>
      <c r="B21" s="11" t="s">
        <v>432</v>
      </c>
      <c r="C21" s="5" t="s">
        <v>165</v>
      </c>
      <c r="D21" s="5" t="s">
        <v>307</v>
      </c>
      <c r="E21" s="12">
        <v>25</v>
      </c>
      <c r="F21" s="12">
        <v>10</v>
      </c>
    </row>
    <row r="22" spans="1:6" ht="33" customHeight="1">
      <c r="A22" s="10">
        <f>IF(Obj_CS62[[#This Row],[Descripción]]="","",ROW()-ROW(Obj_CS62[[#Headers],[Objetivo]]))</f>
        <v>6</v>
      </c>
      <c r="B22" s="11" t="s">
        <v>433</v>
      </c>
      <c r="C22" s="5" t="s">
        <v>165</v>
      </c>
      <c r="D22" s="5" t="s">
        <v>307</v>
      </c>
      <c r="E22" s="12">
        <v>20</v>
      </c>
      <c r="F22" s="12">
        <v>11</v>
      </c>
    </row>
    <row r="23" spans="1:6" ht="18" customHeight="1">
      <c r="A23" s="10">
        <f>IF(Obj_CS62[[#This Row],[Descripción]]="","",ROW()-ROW(Obj_CS62[[#Headers],[Objetivo]]))</f>
        <v>7</v>
      </c>
      <c r="B23" s="11" t="s">
        <v>434</v>
      </c>
      <c r="C23" s="5" t="s">
        <v>165</v>
      </c>
      <c r="D23" s="5" t="s">
        <v>307</v>
      </c>
      <c r="E23" s="12">
        <v>15</v>
      </c>
      <c r="F23" s="12">
        <v>5</v>
      </c>
    </row>
    <row r="24" spans="1:6" ht="33" customHeight="1">
      <c r="A24" s="10">
        <f>IF(Obj_CS62[[#This Row],[Descripción]]="","",ROW()-ROW(Obj_CS62[[#Headers],[Objetivo]]))</f>
        <v>8</v>
      </c>
      <c r="B24" s="11" t="s">
        <v>435</v>
      </c>
      <c r="C24" s="5" t="inlineStr">
        <is>
          <t>No</t>
        </is>
      </c>
      <c r="D24" s="5" t="s">
        <v>307</v>
      </c>
      <c r="E24" s="12">
        <v>20</v>
      </c>
      <c r="F24" s="12"/>
    </row>
    <row r="25" spans="1:6" ht="33" customHeight="1">
      <c r="A25" s="10">
        <f>IF(Obj_CS62[[#This Row],[Descripción]]="","",ROW()-ROW(Obj_CS62[[#Headers],[Objetivo]]))</f>
        <v>9</v>
      </c>
      <c r="B25" s="11" t="s">
        <v>436</v>
      </c>
      <c r="C25" s="5" t="s">
        <v>165</v>
      </c>
      <c r="D25" s="5" t="s">
        <v>307</v>
      </c>
      <c r="E25" s="12">
        <v>30</v>
      </c>
      <c r="F25" s="12">
        <v>4</v>
      </c>
    </row>
    <row r="26" spans="1:6" ht="33" customHeight="1">
      <c r="A26" s="10">
        <f>IF(Obj_CS62[[#This Row],[Descripción]]="","",ROW()-ROW(Obj_CS62[[#Headers],[Objetivo]]))</f>
        <v>10</v>
      </c>
      <c r="B26" s="11" t="s">
        <v>437</v>
      </c>
      <c r="C26" s="5" t="s">
        <v>165</v>
      </c>
      <c r="D26" s="5" t="s">
        <v>307</v>
      </c>
      <c r="E26" s="12">
        <v>15</v>
      </c>
      <c r="F26" s="12">
        <v>2</v>
      </c>
    </row>
    <row r="27" spans="1:6" ht="33" customHeight="1">
      <c r="A27" s="10">
        <f>IF(Obj_CS62[[#This Row],[Descripción]]="","",ROW()-ROW(Obj_CS62[[#Headers],[Objetivo]]))</f>
        <v>11</v>
      </c>
      <c r="B27" s="11" t="s">
        <v>438</v>
      </c>
      <c r="C27" s="5" t="inlineStr">
        <is>
          <t>No</t>
        </is>
      </c>
      <c r="D27" s="5" t="s">
        <v>307</v>
      </c>
      <c r="E27" s="12">
        <v>35</v>
      </c>
      <c r="F27" s="12"/>
    </row>
    <row r="28" spans="1:6" ht="18" customHeight="1">
      <c r="A28" s="10">
        <f>IF(Obj_CS62[[#This Row],[Descripción]]="","",ROW()-ROW(Obj_CS62[[#Headers],[Objetivo]]))</f>
        <v>12</v>
      </c>
      <c r="B28" s="11" t="s">
        <v>424</v>
      </c>
      <c r="C28" s="5" t="inlineStr">
        <is>
          <t>Sí</t>
        </is>
      </c>
      <c r="D28" s="5" t="s">
        <v>307</v>
      </c>
      <c r="E28" s="12">
        <v>5</v>
      </c>
      <c r="F28" s="12">
        <v>2</v>
      </c>
    </row>
    <row r="29" spans="1:6">
      <c r="A29" s="21" t="s">
        <v>470</v>
      </c>
      <c r="B29" s="18"/>
      <c r="C29" s="22"/>
      <c r="D29" s="22"/>
      <c r="E29" s="20">
        <f>SUBTOTAL(109,Obj_CS62[Tiempo estimado])</f>
        <v>250</v>
      </c>
      <c r="F29" s="20">
        <f>SUBTOTAL(109,Obj_CS62[Tiempo total])</f>
        <v>72</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81" priority="1">
      <formula>$B4="En progreso"</formula>
    </cfRule>
    <cfRule type="expression" dxfId="80" priority="2">
      <formula>$B4="En espera"</formula>
    </cfRule>
    <cfRule type="expression" dxfId="79" priority="3">
      <formula>$B4="Finalizada"</formula>
    </cfRule>
    <cfRule type="expression" dxfId="78" priority="4">
      <formula>$B4="Sin página"</formula>
    </cfRule>
  </conditionalFormatting>
  <conditionalFormatting sqref="B5">
    <cfRule type="expression" dxfId="77" priority="5">
      <formula>$B5="I"</formula>
    </cfRule>
    <cfRule type="expression" dxfId="76" priority="6">
      <formula>$B5="N"</formula>
    </cfRule>
    <cfRule type="expression" dxfId="75" priority="7">
      <formula>$B5="M"</formula>
    </cfRule>
  </conditionalFormatting>
  <conditionalFormatting sqref="B6">
    <cfRule type="expression" dxfId="74" priority="8">
      <formula>$B6="Bajo"</formula>
    </cfRule>
    <cfRule type="expression" dxfId="73" priority="9">
      <formula>$B6="Medio bajo"</formula>
    </cfRule>
    <cfRule type="expression" dxfId="72" priority="10">
      <formula>$B6="Medio"</formula>
    </cfRule>
    <cfRule type="expression" dxfId="71" priority="11">
      <formula>$B6="Alto"</formula>
    </cfRule>
    <cfRule type="expression" dxfId="70" priority="12">
      <formula>$B6="Muy alto"</formula>
    </cfRule>
  </conditionalFormatting>
  <conditionalFormatting sqref="C17:C316">
    <cfRule type="expression" dxfId="69" priority="13">
      <formula>$C17="Sí"</formula>
    </cfRule>
    <cfRule type="expression" dxfId="68" priority="14">
      <formula>$C17="No"</formula>
    </cfRule>
  </conditionalFormatting>
  <dataValidations count="3">
    <dataValidation type="list" allowBlank="1" showErrorMessage="1" errorTitle="Finalizado" error="Elige Sí o No." sqref="C17:C316" xr:uid="{11BA9F4D-329D-4795-B03F-109E574E4005}">
      <formula1>"Sí,No"</formula1>
    </dataValidation>
    <dataValidation type="list" errorStyle="warning" allowBlank="1" showErrorMessage="1" errorTitle="Responsable" error="Ese nombre no está en la lista. ¿Lo dejas igualmente?" sqref="D17:D316" xr:uid="{55771FC0-CC25-4983-87E3-2630670ED41F}">
      <formula1>"Joaquin,Matthew,Jorge,Flavia,Lucia,José"</formula1>
    </dataValidation>
    <dataValidation type="decimal" operator="greaterThanOrEqual" allowBlank="1" showErrorMessage="1" errorTitle="Tiempo" error="Escribe solo el número de minutos, por ejemplo 30." sqref="E17:F316" xr:uid="{91DDF630-E4D8-43C5-B7A7-019F1ED80164}">
      <formula1>0</formula1>
    </dataValidation>
  </dataValidations>
  <hyperlinks>
    <hyperlink ref="F1" location="'Índice'!A1" tooltip="Volver al índice" xr:uid="{11C39AD5-BE28-4CBA-B7DA-365303F4808A}"/>
  </hyperlinks>
  <pageMargins left="0.75" right="0.75" top="1" bottom="1" header="0.5" footer="0.5"/>
  <pageSetup fitToHeight="0" orientation="landscape"/>
  <tableParts count="1">
    <tablePart r:id="rId1"/>
  </tableParts>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80B90-54DA-4B4F-99D2-402A6C68C1E0}">
  <sheetPr>
    <pageSetUpPr fitToPage="1"/>
  </sheetPr>
  <dimension ref="A1:F28"/>
  <sheetViews>
    <sheetView topLeftCell="A13" workbookViewId="0">
      <selection activeCell="F28" sqref="F28"/>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CS-63 · PANTALLA DE VALORACIONES Y COMENTARIOS</v>
      </c>
      <c r="B1" s="32"/>
      <c r="C1" s="32"/>
      <c r="D1" s="32"/>
      <c r="E1" s="32"/>
      <c r="F1" s="7" t="s">
        <v>147</v>
      </c>
    </row>
    <row r="2" spans="1:6" ht="15" customHeight="1">
      <c r="A2" s="8" t="s">
        <v>3</v>
      </c>
      <c r="B2" s="30" t="s">
        <v>143</v>
      </c>
      <c r="C2" s="33"/>
      <c r="D2" s="33"/>
      <c r="E2" s="33"/>
      <c r="F2" s="33"/>
    </row>
    <row r="3" spans="1:6" ht="15" customHeight="1">
      <c r="A3" s="8" t="s">
        <v>4</v>
      </c>
      <c r="B3" s="29" t="str">
        <f>IFERROR(INDEX(Historias[Título],MATCH($B$2,Historias[Ref],0))&amp;"","")</f>
        <v>PANTALLA DE VALORACIONES Y COMENTARIOS</v>
      </c>
      <c r="C3" s="33"/>
      <c r="D3" s="33"/>
      <c r="E3" s="33"/>
      <c r="F3" s="33"/>
    </row>
    <row r="4" spans="1:6" ht="15" customHeight="1">
      <c r="A4" s="8" t="s">
        <v>9</v>
      </c>
      <c r="B4" s="29" t="str">
        <f ca="1">IFERROR(INDEX(Historias[Estado],MATCH($B$2,Historias[Ref],0))&amp;"","")</f>
        <v>En progreso</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2</v>
      </c>
      <c r="C7" s="33"/>
      <c r="D7" s="33"/>
      <c r="E7" s="33"/>
      <c r="F7" s="33"/>
    </row>
    <row r="8" spans="1:6" ht="15" customHeight="1">
      <c r="A8" s="8" t="s">
        <v>8</v>
      </c>
      <c r="B8" s="26">
        <f>SUMIFS(F:F,A:A,"&gt;0")/60</f>
        <v>0.0</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439</v>
      </c>
      <c r="C11" s="33"/>
      <c r="D11" s="33"/>
      <c r="E11" s="33"/>
      <c r="F11" s="33"/>
    </row>
    <row r="12" spans="1:6" ht="63" customHeight="1">
      <c r="A12" s="8" t="s">
        <v>153</v>
      </c>
      <c r="B12" s="27" t="s">
        <v>440</v>
      </c>
      <c r="C12" s="33"/>
      <c r="D12" s="33"/>
      <c r="E12" s="33"/>
      <c r="F12" s="33"/>
    </row>
    <row r="13" spans="1:6" ht="138" customHeight="1">
      <c r="A13" s="8" t="s">
        <v>155</v>
      </c>
      <c r="B13" s="27" t="s">
        <v>441</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IF(Obj_CS63[[#This Row],[Descripción]]="","",ROW()-ROW(Obj_CS63[[#Headers],[Objetivo]]))</f>
        <v>1</v>
      </c>
      <c r="B17" s="11" t="s">
        <v>442</v>
      </c>
      <c r="C17" s="5"/>
      <c r="D17" s="5"/>
      <c r="E17" s="12"/>
      <c r="F17" s="12"/>
    </row>
    <row r="18" spans="1:6" ht="18" customHeight="1">
      <c r="A18" s="10">
        <f>IF(Obj_CS63[[#This Row],[Descripción]]="","",ROW()-ROW(Obj_CS63[[#Headers],[Objetivo]]))</f>
        <v>2</v>
      </c>
      <c r="B18" s="11" t="s">
        <v>443</v>
      </c>
      <c r="C18" s="5"/>
      <c r="D18" s="5"/>
      <c r="E18" s="12"/>
      <c r="F18" s="12"/>
    </row>
    <row r="19" spans="1:6" ht="33" customHeight="1">
      <c r="A19" s="10">
        <f>IF(Obj_CS63[[#This Row],[Descripción]]="","",ROW()-ROW(Obj_CS63[[#Headers],[Objetivo]]))</f>
        <v>3</v>
      </c>
      <c r="B19" s="11" t="s">
        <v>444</v>
      </c>
      <c r="C19" s="5"/>
      <c r="D19" s="5"/>
      <c r="E19" s="12"/>
      <c r="F19" s="12"/>
    </row>
    <row r="20" spans="1:6" ht="33" customHeight="1">
      <c r="A20" s="10">
        <f>IF(Obj_CS63[[#This Row],[Descripción]]="","",ROW()-ROW(Obj_CS63[[#Headers],[Objetivo]]))</f>
        <v>4</v>
      </c>
      <c r="B20" s="11" t="s">
        <v>445</v>
      </c>
      <c r="C20" s="5"/>
      <c r="D20" s="5"/>
      <c r="E20" s="12"/>
      <c r="F20" s="12"/>
    </row>
    <row r="21" spans="1:6" ht="33" customHeight="1">
      <c r="A21" s="10">
        <f>IF(Obj_CS63[[#This Row],[Descripción]]="","",ROW()-ROW(Obj_CS63[[#Headers],[Objetivo]]))</f>
        <v>5</v>
      </c>
      <c r="B21" s="11" t="s">
        <v>446</v>
      </c>
      <c r="C21" s="5"/>
      <c r="D21" s="5" t="s">
        <v>244</v>
      </c>
      <c r="E21" s="12">
        <v>15</v>
      </c>
      <c r="F21" s="12"/>
    </row>
    <row r="22" spans="1:6" ht="33" customHeight="1">
      <c r="A22" s="10">
        <f>IF(Obj_CS63[[#This Row],[Descripción]]="","",ROW()-ROW(Obj_CS63[[#Headers],[Objetivo]]))</f>
        <v>6</v>
      </c>
      <c r="B22" s="11" t="s">
        <v>447</v>
      </c>
      <c r="C22" s="5"/>
      <c r="D22" s="5" t="s">
        <v>244</v>
      </c>
      <c r="E22" s="12">
        <v>10</v>
      </c>
      <c r="F22" s="12"/>
    </row>
    <row r="23" spans="1:6" ht="33" customHeight="1">
      <c r="A23" s="10">
        <f>IF(Obj_CS63[[#This Row],[Descripción]]="","",ROW()-ROW(Obj_CS63[[#Headers],[Objetivo]]))</f>
        <v>7</v>
      </c>
      <c r="B23" s="11" t="s">
        <v>448</v>
      </c>
      <c r="C23" s="5"/>
      <c r="D23" s="5"/>
      <c r="E23" s="12"/>
      <c r="F23" s="12"/>
    </row>
    <row r="24" spans="1:6" ht="33" customHeight="1">
      <c r="A24" s="10">
        <f>IF(Obj_CS63[[#This Row],[Descripción]]="","",ROW()-ROW(Obj_CS63[[#Headers],[Objetivo]]))</f>
        <v>8</v>
      </c>
      <c r="B24" s="11" t="s">
        <v>449</v>
      </c>
      <c r="C24" s="5"/>
      <c r="D24" s="5"/>
      <c r="E24" s="12"/>
      <c r="F24" s="12"/>
    </row>
    <row r="25" spans="1:6" ht="33" customHeight="1">
      <c r="A25" s="10">
        <f>IF(Obj_CS63[[#This Row],[Descripción]]="","",ROW()-ROW(Obj_CS63[[#Headers],[Objetivo]]))</f>
        <v>9</v>
      </c>
      <c r="B25" s="11" t="s">
        <v>450</v>
      </c>
      <c r="C25" s="5"/>
      <c r="D25" s="5"/>
      <c r="E25" s="12"/>
      <c r="F25" s="12"/>
    </row>
    <row r="26" spans="1:6" ht="18" customHeight="1">
      <c r="A26" s="10">
        <f>IF(Obj_CS63[[#This Row],[Descripción]]="","",ROW()-ROW(Obj_CS63[[#Headers],[Objetivo]]))</f>
        <v>10</v>
      </c>
      <c r="B26" s="11" t="s">
        <v>451</v>
      </c>
      <c r="C26" s="5"/>
      <c r="D26" s="5"/>
      <c r="E26" s="12"/>
      <c r="F26" s="12"/>
    </row>
    <row r="27" spans="1:6" ht="18" customHeight="1">
      <c r="A27" s="10">
        <f>IF(Obj_CS63[[#This Row],[Descripción]]="","",ROW()-ROW(Obj_CS63[[#Headers],[Objetivo]]))</f>
        <v>11</v>
      </c>
      <c r="B27" s="11" t="s">
        <v>424</v>
      </c>
      <c r="C27" s="5"/>
      <c r="D27" s="5"/>
      <c r="E27" s="12"/>
      <c r="F27" s="12"/>
    </row>
    <row r="28" spans="1:6">
      <c r="A28" s="21" t="s">
        <v>470</v>
      </c>
      <c r="B28" s="18"/>
      <c r="C28" s="22"/>
      <c r="D28" s="22"/>
      <c r="E28" s="23">
        <f>SUBTOTAL(109,Obj_CS63[Tiempo estimado])</f>
        <v>25</v>
      </c>
      <c r="F28" s="23">
        <f>SUBTOTAL(109,Obj_CS63[Tiempo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61" priority="1">
      <formula>$B4="En progreso"</formula>
    </cfRule>
    <cfRule type="expression" dxfId="60" priority="2">
      <formula>$B4="En espera"</formula>
    </cfRule>
    <cfRule type="expression" dxfId="59" priority="3">
      <formula>$B4="Finalizada"</formula>
    </cfRule>
    <cfRule type="expression" dxfId="58" priority="4">
      <formula>$B4="Sin página"</formula>
    </cfRule>
  </conditionalFormatting>
  <conditionalFormatting sqref="B5">
    <cfRule type="expression" dxfId="57" priority="5">
      <formula>$B5="I"</formula>
    </cfRule>
    <cfRule type="expression" dxfId="56" priority="6">
      <formula>$B5="N"</formula>
    </cfRule>
    <cfRule type="expression" dxfId="55" priority="7">
      <formula>$B5="M"</formula>
    </cfRule>
  </conditionalFormatting>
  <conditionalFormatting sqref="B6">
    <cfRule type="expression" dxfId="54" priority="8">
      <formula>$B6="Bajo"</formula>
    </cfRule>
    <cfRule type="expression" dxfId="53" priority="9">
      <formula>$B6="Medio bajo"</formula>
    </cfRule>
    <cfRule type="expression" dxfId="52" priority="10">
      <formula>$B6="Medio"</formula>
    </cfRule>
    <cfRule type="expression" dxfId="51" priority="11">
      <formula>$B6="Alto"</formula>
    </cfRule>
    <cfRule type="expression" dxfId="50" priority="12">
      <formula>$B6="Muy alto"</formula>
    </cfRule>
  </conditionalFormatting>
  <conditionalFormatting sqref="C17:C316">
    <cfRule type="expression" dxfId="49" priority="13">
      <formula>$C17="Sí"</formula>
    </cfRule>
    <cfRule type="expression" dxfId="48" priority="14">
      <formula>$C17="No"</formula>
    </cfRule>
  </conditionalFormatting>
  <dataValidations count="3">
    <dataValidation type="list" allowBlank="1" showErrorMessage="1" errorTitle="Finalizado" error="Elige Sí o No." sqref="C17:C316" xr:uid="{D3FE344E-E2DF-46BE-BF2A-73AF849714B3}">
      <formula1>"Sí,No"</formula1>
    </dataValidation>
    <dataValidation type="list" errorStyle="warning" allowBlank="1" showErrorMessage="1" errorTitle="Responsable" error="Ese nombre no está en la lista. ¿Lo dejas igualmente?" sqref="D17:D316" xr:uid="{8B848378-F751-4CDB-B3DC-177BB198B158}">
      <formula1>"Joaquin,Matthew,Jorge,Flavia,Lucia,José"</formula1>
    </dataValidation>
    <dataValidation type="decimal" operator="greaterThanOrEqual" allowBlank="1" showErrorMessage="1" errorTitle="Tiempo" error="Escribe solo el número de minutos, por ejemplo 30." sqref="E17:F316" xr:uid="{D09453AE-2505-4436-9B28-B9863C9FE6D3}">
      <formula1>0</formula1>
    </dataValidation>
  </dataValidations>
  <hyperlinks>
    <hyperlink ref="F1" location="'Índice'!A1" tooltip="Volver al índice" xr:uid="{26B6BD2B-0674-4A10-9103-A5D394C57083}"/>
  </hyperlinks>
  <pageMargins left="0.75" right="0.75" top="1" bottom="1" header="0.5" footer="0.5"/>
  <pageSetup fitToHeight="0" orientation="landscape"/>
  <tableParts count="1">
    <tablePart r:id="rId1"/>
  </tableParts>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8E6BE-63AA-4A60-B4FE-1C85B0907FD0}">
  <sheetPr>
    <pageSetUpPr fitToPage="1"/>
  </sheetPr>
  <dimension ref="A1:F32"/>
  <sheetViews>
    <sheetView topLeftCell="A20" workbookViewId="0">
      <selection activeCell="F32" sqref="F32"/>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CS-64 · CONTRASEÑA SEGURA</v>
      </c>
      <c r="B1" s="32"/>
      <c r="C1" s="32"/>
      <c r="D1" s="32"/>
      <c r="E1" s="32"/>
      <c r="F1" s="7" t="s">
        <v>147</v>
      </c>
    </row>
    <row r="2" spans="1:6" ht="15" customHeight="1">
      <c r="A2" s="8" t="s">
        <v>3</v>
      </c>
      <c r="B2" s="30" t="s">
        <v>145</v>
      </c>
      <c r="C2" s="33"/>
      <c r="D2" s="33"/>
      <c r="E2" s="33"/>
      <c r="F2" s="33"/>
    </row>
    <row r="3" spans="1:6" ht="15" customHeight="1">
      <c r="A3" s="8" t="s">
        <v>4</v>
      </c>
      <c r="B3" s="29" t="str">
        <f>IFERROR(INDEX(Historias[Título],MATCH($B$2,Historias[Ref],0))&amp;"","")</f>
        <v>CONTRASEÑA SEGURA</v>
      </c>
      <c r="C3" s="33"/>
      <c r="D3" s="33"/>
      <c r="E3" s="33"/>
      <c r="F3" s="33"/>
    </row>
    <row r="4" spans="1:6" ht="15" customHeight="1">
      <c r="A4" s="8" t="s">
        <v>9</v>
      </c>
      <c r="B4" s="29" t="str">
        <f ca="1">IFERROR(INDEX(Historias[Estado],MATCH($B$2,Historias[Ref],0))&amp;"","")</f>
        <v>En espera</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Bajo</v>
      </c>
      <c r="C6" s="33"/>
      <c r="D6" s="33"/>
      <c r="E6" s="33"/>
      <c r="F6" s="33"/>
    </row>
    <row r="7" spans="1:6" ht="15" customHeight="1">
      <c r="A7" s="8" t="s">
        <v>7</v>
      </c>
      <c r="B7" s="26">
        <f>IFERROR(INDEX(Historias[Tiempo estimado],MATCH($B$2,Historias[Ref],0)),"")</f>
        <v>0.5</v>
      </c>
      <c r="C7" s="33"/>
      <c r="D7" s="33"/>
      <c r="E7" s="33"/>
      <c r="F7" s="33"/>
    </row>
    <row r="8" spans="1:6" ht="15" customHeight="1">
      <c r="A8" s="8" t="s">
        <v>8</v>
      </c>
      <c r="B8" s="26">
        <f>SUMIFS(F:F,A:A,"&gt;0")/60</f>
        <v>0.0</v>
      </c>
      <c r="C8" s="33"/>
      <c r="D8" s="33"/>
      <c r="E8" s="33"/>
      <c r="F8" s="33"/>
    </row>
    <row r="9" spans="1:6" ht="15" customHeight="1">
      <c r="A9" s="8" t="s">
        <v>148</v>
      </c>
      <c r="B9" s="27"/>
      <c r="C9" s="33"/>
      <c r="D9" s="33"/>
      <c r="E9" s="33"/>
      <c r="F9" s="33"/>
    </row>
    <row r="10" spans="1:6" ht="15" customHeight="1">
      <c r="A10" s="8" t="s">
        <v>150</v>
      </c>
      <c r="B10" s="28">
        <v>46300</v>
      </c>
      <c r="C10" s="33"/>
      <c r="D10" s="33"/>
      <c r="E10" s="33"/>
      <c r="F10" s="33"/>
    </row>
    <row r="11" spans="1:6" ht="15" customHeight="1">
      <c r="A11" s="8" t="s">
        <v>151</v>
      </c>
      <c r="B11" s="27" t="s">
        <v>452</v>
      </c>
      <c r="C11" s="33"/>
      <c r="D11" s="33"/>
      <c r="E11" s="33"/>
      <c r="F11" s="33"/>
    </row>
    <row r="12" spans="1:6" ht="63" customHeight="1">
      <c r="A12" s="8" t="s">
        <v>153</v>
      </c>
      <c r="B12" s="27" t="s">
        <v>453</v>
      </c>
      <c r="C12" s="33"/>
      <c r="D12" s="33"/>
      <c r="E12" s="33"/>
      <c r="F12" s="33"/>
    </row>
    <row r="13" spans="1:6" ht="138" customHeight="1">
      <c r="A13" s="8" t="s">
        <v>155</v>
      </c>
      <c r="B13" s="27" t="s">
        <v>454</v>
      </c>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33" customHeight="1">
      <c r="A17" s="10">
        <f>IF(Obj_CS64[[#This Row],[Descripción]]="","",ROW()-ROW(Obj_CS64[[#Headers],[Objetivo]]))</f>
        <v>1</v>
      </c>
      <c r="B17" s="11" t="s">
        <v>455</v>
      </c>
      <c r="C17" s="5"/>
      <c r="D17" s="5" t="inlineStr">
        <is>
          <t>José</t>
        </is>
      </c>
      <c r="E17" s="12">
        <v>15</v>
      </c>
      <c r="F17" s="12"/>
    </row>
    <row r="18" spans="1:6" ht="33" customHeight="1">
      <c r="A18" s="10">
        <f>IF(Obj_CS64[[#This Row],[Descripción]]="","",ROW()-ROW(Obj_CS64[[#Headers],[Objetivo]]))</f>
        <v>2</v>
      </c>
      <c r="B18" s="11" t="s">
        <v>456</v>
      </c>
      <c r="C18" s="5"/>
      <c r="D18" s="5" t="inlineStr">
        <is>
          <t>José</t>
        </is>
      </c>
      <c r="E18" s="12">
        <v>20</v>
      </c>
      <c r="F18" s="12"/>
    </row>
    <row r="19" spans="1:6" ht="33" customHeight="1">
      <c r="A19" s="10">
        <f>IF(Obj_CS64[[#This Row],[Descripción]]="","",ROW()-ROW(Obj_CS64[[#Headers],[Objetivo]]))</f>
        <v>3</v>
      </c>
      <c r="B19" s="11" t="s">
        <v>457</v>
      </c>
      <c r="C19" s="5"/>
      <c r="D19" s="5" t="inlineStr">
        <is>
          <t>José</t>
        </is>
      </c>
      <c r="E19" s="12">
        <v>25</v>
      </c>
      <c r="F19" s="12"/>
    </row>
    <row r="20" spans="1:6" ht="18" customHeight="1">
      <c r="A20" s="10">
        <f>IF(Obj_CS64[[#This Row],[Descripción]]="","",ROW()-ROW(Obj_CS64[[#Headers],[Objetivo]]))</f>
        <v>4</v>
      </c>
      <c r="B20" s="11" t="s">
        <v>458</v>
      </c>
      <c r="C20" s="5"/>
      <c r="D20" s="5" t="inlineStr">
        <is>
          <t>José</t>
        </is>
      </c>
      <c r="E20" s="12">
        <v>5</v>
      </c>
      <c r="F20" s="12"/>
    </row>
    <row r="21" spans="1:6" ht="33" customHeight="1">
      <c r="A21" s="10">
        <f>IF(Obj_CS64[[#This Row],[Descripción]]="","",ROW()-ROW(Obj_CS64[[#Headers],[Objetivo]]))</f>
        <v>5</v>
      </c>
      <c r="B21" s="11" t="s">
        <v>459</v>
      </c>
      <c r="C21" s="5"/>
      <c r="D21" s="5" t="inlineStr">
        <is>
          <t>José</t>
        </is>
      </c>
      <c r="E21" s="12">
        <v>15</v>
      </c>
      <c r="F21" s="12"/>
    </row>
    <row r="22" spans="1:6" ht="33" customHeight="1">
      <c r="A22" s="10">
        <f>IF(Obj_CS64[[#This Row],[Descripción]]="","",ROW()-ROW(Obj_CS64[[#Headers],[Objetivo]]))</f>
        <v>6</v>
      </c>
      <c r="B22" s="11" t="s">
        <v>460</v>
      </c>
      <c r="C22" s="5"/>
      <c r="D22" s="5" t="inlineStr">
        <is>
          <t>José</t>
        </is>
      </c>
      <c r="E22" s="12">
        <v>15</v>
      </c>
      <c r="F22" s="12"/>
    </row>
    <row r="23" spans="1:6" ht="33" customHeight="1">
      <c r="A23" s="10">
        <f>IF(Obj_CS64[[#This Row],[Descripción]]="","",ROW()-ROW(Obj_CS64[[#Headers],[Objetivo]]))</f>
        <v>7</v>
      </c>
      <c r="B23" s="11" t="s">
        <v>461</v>
      </c>
      <c r="C23" s="5"/>
      <c r="D23" s="5" t="inlineStr">
        <is>
          <t>José</t>
        </is>
      </c>
      <c r="E23" s="12">
        <v>25</v>
      </c>
      <c r="F23" s="12"/>
    </row>
    <row r="24" spans="1:6" ht="33" customHeight="1">
      <c r="A24" s="10">
        <f>IF(Obj_CS64[[#This Row],[Descripción]]="","",ROW()-ROW(Obj_CS64[[#Headers],[Objetivo]]))</f>
        <v>8</v>
      </c>
      <c r="B24" s="11" t="s">
        <v>462</v>
      </c>
      <c r="C24" s="5"/>
      <c r="D24" s="5" t="inlineStr">
        <is>
          <t>José</t>
        </is>
      </c>
      <c r="E24" s="12">
        <v>15</v>
      </c>
      <c r="F24" s="12"/>
    </row>
    <row r="25" spans="1:6" ht="33" customHeight="1">
      <c r="A25" s="10">
        <f>IF(Obj_CS64[[#This Row],[Descripción]]="","",ROW()-ROW(Obj_CS64[[#Headers],[Objetivo]]))</f>
        <v>9</v>
      </c>
      <c r="B25" s="11" t="s">
        <v>463</v>
      </c>
      <c r="C25" s="5"/>
      <c r="D25" s="5" t="inlineStr">
        <is>
          <t>José</t>
        </is>
      </c>
      <c r="E25" s="12">
        <v>45</v>
      </c>
      <c r="F25" s="12"/>
    </row>
    <row r="26" spans="1:6" ht="48" customHeight="1">
      <c r="A26" s="10">
        <f>IF(Obj_CS64[[#This Row],[Descripción]]="","",ROW()-ROW(Obj_CS64[[#Headers],[Objetivo]]))</f>
        <v>10</v>
      </c>
      <c r="B26" s="11" t="s">
        <v>464</v>
      </c>
      <c r="C26" s="5"/>
      <c r="D26" s="5" t="inlineStr">
        <is>
          <t>José</t>
        </is>
      </c>
      <c r="E26" s="12">
        <v>25</v>
      </c>
      <c r="F26" s="12"/>
    </row>
    <row r="27" spans="1:6" ht="33" customHeight="1">
      <c r="A27" s="10">
        <f>IF(Obj_CS64[[#This Row],[Descripción]]="","",ROW()-ROW(Obj_CS64[[#Headers],[Objetivo]]))</f>
        <v>11</v>
      </c>
      <c r="B27" s="11" t="s">
        <v>465</v>
      </c>
      <c r="C27" s="5"/>
      <c r="D27" s="5" t="inlineStr">
        <is>
          <t>José</t>
        </is>
      </c>
      <c r="E27" s="12">
        <v>20</v>
      </c>
      <c r="F27" s="12"/>
    </row>
    <row r="28" spans="1:6" ht="33" customHeight="1">
      <c r="A28" s="10">
        <f>IF(Obj_CS64[[#This Row],[Descripción]]="","",ROW()-ROW(Obj_CS64[[#Headers],[Objetivo]]))</f>
        <v>12</v>
      </c>
      <c r="B28" s="11" t="s">
        <v>466</v>
      </c>
      <c r="C28" s="5"/>
      <c r="D28" s="5" t="inlineStr">
        <is>
          <t>José</t>
        </is>
      </c>
      <c r="E28" s="12">
        <v>15</v>
      </c>
      <c r="F28" s="12"/>
    </row>
    <row r="29" spans="1:6" ht="33" customHeight="1">
      <c r="A29" s="10">
        <f>IF(Obj_CS64[[#This Row],[Descripción]]="","",ROW()-ROW(Obj_CS64[[#Headers],[Objetivo]]))</f>
        <v>13</v>
      </c>
      <c r="B29" s="11" t="s">
        <v>467</v>
      </c>
      <c r="C29" s="5"/>
      <c r="D29" s="5" t="inlineStr">
        <is>
          <t>José</t>
        </is>
      </c>
      <c r="E29" s="12">
        <v>35</v>
      </c>
      <c r="F29" s="12"/>
    </row>
    <row r="30" spans="1:6" ht="48" customHeight="1">
      <c r="A30" s="10">
        <f>IF(Obj_CS64[[#This Row],[Descripción]]="","",ROW()-ROW(Obj_CS64[[#Headers],[Objetivo]]))</f>
        <v>14</v>
      </c>
      <c r="B30" s="11" t="s">
        <v>468</v>
      </c>
      <c r="C30" s="5"/>
      <c r="D30" s="5" t="inlineStr">
        <is>
          <t>José</t>
        </is>
      </c>
      <c r="E30" s="12">
        <v>35</v>
      </c>
      <c r="F30" s="12"/>
    </row>
    <row r="31" spans="1:6" ht="18" customHeight="1">
      <c r="A31" s="10">
        <f>IF(Obj_CS64[[#This Row],[Descripción]]="","",ROW()-ROW(Obj_CS64[[#Headers],[Objetivo]]))</f>
        <v>15</v>
      </c>
      <c r="B31" s="11" t="s">
        <v>469</v>
      </c>
      <c r="C31" s="5"/>
      <c r="D31" s="5" t="inlineStr">
        <is>
          <t>José</t>
        </is>
      </c>
      <c r="E31" s="12">
        <v>30</v>
      </c>
      <c r="F31" s="12"/>
    </row>
    <row r="32" spans="1:6">
      <c r="A32" s="21" t="s">
        <v>470</v>
      </c>
      <c r="B32" s="18"/>
      <c r="C32" s="22"/>
      <c r="D32" s="22"/>
      <c r="E32" s="23">
        <f>SUBTOTAL(109,Obj_CS64[Tiempo estimado])</f>
        <v>0</v>
      </c>
      <c r="F32" s="23">
        <f>SUBTOTAL(109,Obj_CS64[Tiempo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41" priority="1">
      <formula>$B4="En progreso"</formula>
    </cfRule>
    <cfRule type="expression" dxfId="40" priority="2">
      <formula>$B4="En espera"</formula>
    </cfRule>
    <cfRule type="expression" dxfId="39" priority="3">
      <formula>$B4="Finalizada"</formula>
    </cfRule>
    <cfRule type="expression" dxfId="38" priority="4">
      <formula>$B4="Sin página"</formula>
    </cfRule>
  </conditionalFormatting>
  <conditionalFormatting sqref="B5">
    <cfRule type="expression" dxfId="37" priority="5">
      <formula>$B5="I"</formula>
    </cfRule>
    <cfRule type="expression" dxfId="36" priority="6">
      <formula>$B5="N"</formula>
    </cfRule>
    <cfRule type="expression" dxfId="35" priority="7">
      <formula>$B5="M"</formula>
    </cfRule>
  </conditionalFormatting>
  <conditionalFormatting sqref="B6">
    <cfRule type="expression" dxfId="34" priority="8">
      <formula>$B6="Bajo"</formula>
    </cfRule>
    <cfRule type="expression" dxfId="33" priority="9">
      <formula>$B6="Medio bajo"</formula>
    </cfRule>
    <cfRule type="expression" dxfId="32" priority="10">
      <formula>$B6="Medio"</formula>
    </cfRule>
    <cfRule type="expression" dxfId="31" priority="11">
      <formula>$B6="Alto"</formula>
    </cfRule>
    <cfRule type="expression" dxfId="30" priority="12">
      <formula>$B6="Muy alto"</formula>
    </cfRule>
  </conditionalFormatting>
  <conditionalFormatting sqref="C17:C316">
    <cfRule type="expression" dxfId="29" priority="13">
      <formula>$C17="Sí"</formula>
    </cfRule>
    <cfRule type="expression" dxfId="28" priority="14">
      <formula>$C17="No"</formula>
    </cfRule>
  </conditionalFormatting>
  <dataValidations count="3">
    <dataValidation type="list" allowBlank="1" showErrorMessage="1" errorTitle="Finalizado" error="Elige Sí o No." sqref="C17:C316" xr:uid="{0E4198C1-E881-459C-85C9-BBE62119575F}">
      <formula1>"Sí,No"</formula1>
    </dataValidation>
    <dataValidation type="list" errorStyle="warning" allowBlank="1" showErrorMessage="1" errorTitle="Responsable" error="Ese nombre no está en la lista. ¿Lo dejas igualmente?" sqref="D17:D316" xr:uid="{3811794B-501C-49ED-ACC5-34D5BAA9DACB}">
      <formula1>"Joaquin,Matthew,Jorge,Flavia,Lucia,José"</formula1>
    </dataValidation>
    <dataValidation type="decimal" operator="greaterThanOrEqual" allowBlank="1" showErrorMessage="1" errorTitle="Tiempo" error="Escribe solo el número de minutos, por ejemplo 30." sqref="E17:F316" xr:uid="{25D5324E-EE11-40BE-9E5F-345D2DC94C6C}">
      <formula1>0</formula1>
    </dataValidation>
  </dataValidations>
  <hyperlinks>
    <hyperlink ref="F1" location="'Índice'!A1" tooltip="Volver al índice" xr:uid="{65C0668E-A198-4DB4-AF34-2AE822629D86}"/>
  </hyperlinks>
  <pageMargins left="0.75" right="0.75" top="1" bottom="1" header="0.5" footer="0.5"/>
  <pageSetup fitToHeight="0" orientation="landscape"/>
  <tableParts count="1">
    <tablePart r:id="rId1"/>
  </tableParts>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808080"/>
    <pageSetUpPr fitToPage="1"/>
  </sheetPr>
  <dimension ref="A1:F18"/>
  <sheetViews>
    <sheetView workbookViewId="0">
      <selection activeCell="A17" sqref="A17:F17"/>
    </sheetView>
  </sheetViews>
  <sheetFormatPr defaultRowHeight="15"/>
  <cols>
    <col min="1" max="1" width="22" customWidth="1"/>
    <col min="2" max="2" width="60" customWidth="1"/>
    <col min="3" max="3" width="12" customWidth="1"/>
    <col min="4" max="4" width="16" customWidth="1"/>
    <col min="5" max="5" width="17" customWidth="1"/>
    <col min="6" max="6" width="15" customWidth="1"/>
  </cols>
  <sheetData>
    <row r="1" spans="1:6" ht="26.1" customHeight="1">
      <c r="A1" s="25" t="str">
        <f>IF($B$2="","PLANTILLA · escribe la referencia CS-XX en B2",$B$2&amp;" · "&amp;$B$3)</f>
        <v>PLANTILLA · escribe la referencia CS-XX en B2</v>
      </c>
      <c r="B1" s="32"/>
      <c r="C1" s="32"/>
      <c r="D1" s="32"/>
      <c r="E1" s="32"/>
      <c r="F1" s="7" t="s">
        <v>147</v>
      </c>
    </row>
    <row r="2" spans="1:6" ht="15" customHeight="1">
      <c r="A2" s="8" t="s">
        <v>3</v>
      </c>
      <c r="B2" s="30"/>
      <c r="C2" s="33"/>
      <c r="D2" s="33"/>
      <c r="E2" s="33"/>
      <c r="F2" s="33"/>
    </row>
    <row r="3" spans="1:6" ht="15" customHeight="1">
      <c r="A3" s="8" t="s">
        <v>4</v>
      </c>
      <c r="B3" s="29" t="str">
        <f>IFERROR(INDEX(Historias[Título],MATCH($B$2,Historias[Ref],0))&amp;"","")</f>
        <v/>
      </c>
      <c r="C3" s="33"/>
      <c r="D3" s="33"/>
      <c r="E3" s="33"/>
      <c r="F3" s="33"/>
    </row>
    <row r="4" spans="1:6" ht="15" customHeight="1">
      <c r="A4" s="8" t="s">
        <v>9</v>
      </c>
      <c r="B4" s="29" t="str">
        <f>IFERROR(INDEX(Historias[Estado],MATCH($B$2,Historias[Ref],0))&amp;"","")</f>
        <v/>
      </c>
      <c r="C4" s="33"/>
      <c r="D4" s="33"/>
      <c r="E4" s="33"/>
      <c r="F4" s="33"/>
    </row>
    <row r="5" spans="1:6" ht="15" customHeight="1">
      <c r="A5" s="8" t="s">
        <v>6</v>
      </c>
      <c r="B5" s="29" t="str">
        <f>IFERROR(INDEX(Historias[Prioridad],MATCH($B$2,Historias[Ref],0))&amp;"","")</f>
        <v/>
      </c>
      <c r="C5" s="33"/>
      <c r="D5" s="33"/>
      <c r="E5" s="33"/>
      <c r="F5" s="33"/>
    </row>
    <row r="6" spans="1:6" ht="15" customHeight="1">
      <c r="A6" s="8" t="s">
        <v>5</v>
      </c>
      <c r="B6" s="29" t="str">
        <f>IFERROR(INDEX(Historias[Riesgo],MATCH($B$2,Historias[Ref],0))&amp;"","")</f>
        <v/>
      </c>
      <c r="C6" s="33"/>
      <c r="D6" s="33"/>
      <c r="E6" s="33"/>
      <c r="F6" s="33"/>
    </row>
    <row r="7" spans="1:6" ht="15" customHeight="1">
      <c r="A7" s="8" t="s">
        <v>7</v>
      </c>
      <c r="B7" s="26" t="str">
        <f>IFERROR(INDEX(Historias[Tiempo estimado],MATCH($B$2,Historias[Ref],0)),"")</f>
        <v/>
      </c>
      <c r="C7" s="33"/>
      <c r="D7" s="33"/>
      <c r="E7" s="33"/>
      <c r="F7" s="33"/>
    </row>
    <row r="8" spans="1:6" ht="15" customHeight="1">
      <c r="A8" s="8" t="s">
        <v>8</v>
      </c>
      <c r="B8" s="26">
        <f>SUMIFS(F:F,A:A,"&gt;0")/60</f>
        <v>0.0</v>
      </c>
      <c r="C8" s="33"/>
      <c r="D8" s="33"/>
      <c r="E8" s="33"/>
      <c r="F8" s="33"/>
    </row>
    <row r="9" spans="1:6" ht="15" customHeight="1">
      <c r="A9" s="8" t="s">
        <v>148</v>
      </c>
      <c r="B9" s="27"/>
      <c r="C9" s="33"/>
      <c r="D9" s="33"/>
      <c r="E9" s="33"/>
      <c r="F9" s="33"/>
    </row>
    <row r="10" spans="1:6" ht="15" customHeight="1">
      <c r="A10" s="8" t="s">
        <v>150</v>
      </c>
      <c r="B10" s="28"/>
      <c r="C10" s="33"/>
      <c r="D10" s="33"/>
      <c r="E10" s="33"/>
      <c r="F10" s="33"/>
    </row>
    <row r="11" spans="1:6" ht="15" customHeight="1">
      <c r="A11" s="8" t="s">
        <v>151</v>
      </c>
      <c r="B11" s="27"/>
      <c r="C11" s="33"/>
      <c r="D11" s="33"/>
      <c r="E11" s="33"/>
      <c r="F11" s="33"/>
    </row>
    <row r="12" spans="1:6" ht="45" customHeight="1">
      <c r="A12" s="8" t="s">
        <v>153</v>
      </c>
      <c r="B12" s="27"/>
      <c r="C12" s="33"/>
      <c r="D12" s="33"/>
      <c r="E12" s="33"/>
      <c r="F12" s="33"/>
    </row>
    <row r="13" spans="1:6" ht="45" customHeight="1">
      <c r="A13" s="8" t="s">
        <v>155</v>
      </c>
      <c r="B13" s="27"/>
      <c r="C13" s="33"/>
      <c r="D13" s="33"/>
      <c r="E13" s="33"/>
      <c r="F13" s="33"/>
    </row>
    <row r="14" spans="1:6" ht="60" customHeight="1">
      <c r="A14" s="35" t="s">
        <v>157</v>
      </c>
      <c r="B14" s="32"/>
      <c r="C14" s="32"/>
      <c r="D14" s="32"/>
      <c r="E14" s="32"/>
      <c r="F14" s="32"/>
    </row>
    <row r="15" spans="1:6" ht="20.100000000000001" customHeight="1">
      <c r="A15" s="24" t="s">
        <v>158</v>
      </c>
      <c r="B15" s="32"/>
      <c r="C15" s="32"/>
      <c r="D15" s="32"/>
      <c r="E15" s="32"/>
      <c r="F15" s="32"/>
    </row>
    <row r="16" spans="1:6">
      <c r="A16" s="9" t="s">
        <v>159</v>
      </c>
      <c r="B16" s="9" t="s">
        <v>160</v>
      </c>
      <c r="C16" s="9" t="s">
        <v>161</v>
      </c>
      <c r="D16" s="9" t="s">
        <v>162</v>
      </c>
      <c r="E16" s="9" t="s">
        <v>7</v>
      </c>
      <c r="F16" s="9" t="s">
        <v>8</v>
      </c>
    </row>
    <row r="17" spans="1:6" ht="15" customHeight="1">
      <c r="A17" s="16" t="str">
        <f>IF(Obj_Plantilla[[#This Row],[Descripción]]="","",ROW()-ROW(Obj_Plantilla[[#Headers],[Objetivo]]))</f>
        <v/>
      </c>
      <c r="B17" s="11"/>
      <c r="C17" s="14"/>
      <c r="D17" s="14"/>
      <c r="E17" s="15"/>
      <c r="F17" s="15"/>
    </row>
    <row r="18" spans="1:6">
      <c r="A18" s="17" t="s">
        <v>470</v>
      </c>
      <c r="B18" s="18"/>
      <c r="C18" s="19"/>
      <c r="D18" s="19"/>
      <c r="E18" s="20">
        <f>SUBTOTAL(109,Obj_Plantilla[Tiempo estimado])</f>
        <v>0</v>
      </c>
      <c r="F18" s="20">
        <f>SUBTOTAL(109,Obj_Plantilla[Tiempo total])</f>
        <v>0</v>
      </c>
    </row>
  </sheetData>
  <mergeCells count="15">
    <mergeCell ref="A15:F15"/>
    <mergeCell ref="A1:E1"/>
    <mergeCell ref="B8:F8"/>
    <mergeCell ref="B9:F9"/>
    <mergeCell ref="B13:F13"/>
    <mergeCell ref="A14:F14"/>
    <mergeCell ref="B10:F10"/>
    <mergeCell ref="B11:F11"/>
    <mergeCell ref="B3:F3"/>
    <mergeCell ref="B5:F5"/>
    <mergeCell ref="B4:F4"/>
    <mergeCell ref="B12:F12"/>
    <mergeCell ref="B7:F7"/>
    <mergeCell ref="B6:F6"/>
    <mergeCell ref="B2:F2"/>
  </mergeCells>
  <conditionalFormatting sqref="B4">
    <cfRule type="expression" dxfId="21" priority="3">
      <formula>$B4="En progreso"</formula>
    </cfRule>
    <cfRule type="expression" dxfId="20" priority="4">
      <formula>$B4="En espera"</formula>
    </cfRule>
    <cfRule type="expression" dxfId="19" priority="5">
      <formula>$B4="Finalizada"</formula>
    </cfRule>
    <cfRule type="expression" dxfId="18" priority="6">
      <formula>$B4="Sin página"</formula>
    </cfRule>
  </conditionalFormatting>
  <conditionalFormatting sqref="B5">
    <cfRule type="expression" dxfId="17" priority="7">
      <formula>$B5="I"</formula>
    </cfRule>
    <cfRule type="expression" dxfId="16" priority="8">
      <formula>$B5="N"</formula>
    </cfRule>
    <cfRule type="expression" dxfId="15" priority="9">
      <formula>$B5="M"</formula>
    </cfRule>
  </conditionalFormatting>
  <conditionalFormatting sqref="B6">
    <cfRule type="expression" dxfId="14" priority="10">
      <formula>$B6="Bajo"</formula>
    </cfRule>
    <cfRule type="expression" dxfId="13" priority="11">
      <formula>$B6="Medio bajo"</formula>
    </cfRule>
    <cfRule type="expression" dxfId="12" priority="12">
      <formula>$B6="Medio"</formula>
    </cfRule>
    <cfRule type="expression" dxfId="11" priority="13">
      <formula>$B6="Alto"</formula>
    </cfRule>
    <cfRule type="expression" dxfId="10" priority="14">
      <formula>$B6="Muy alto"</formula>
    </cfRule>
  </conditionalFormatting>
  <conditionalFormatting sqref="C19:C316">
    <cfRule type="expression" dxfId="9" priority="15">
      <formula>$C19="Sí"</formula>
    </cfRule>
    <cfRule type="expression" dxfId="8" priority="16">
      <formula>$C19="No"</formula>
    </cfRule>
  </conditionalFormatting>
  <conditionalFormatting sqref="C17:C18">
    <cfRule type="expression" dxfId="7" priority="1">
      <formula>$C17="Sí"</formula>
    </cfRule>
    <cfRule type="expression" dxfId="6" priority="2">
      <formula>$C17="No"</formula>
    </cfRule>
  </conditionalFormatting>
  <dataValidations count="3">
    <dataValidation type="list" allowBlank="1" showErrorMessage="1" errorTitle="Finalizado" error="Elige Sí o No." sqref="C17:C316" xr:uid="{00000000-0002-0000-3D00-000000000000}">
      <formula1>"Sí,No"</formula1>
    </dataValidation>
    <dataValidation type="list" errorStyle="warning" allowBlank="1" showErrorMessage="1" errorTitle="Responsable" error="Ese nombre no está en la lista. ¿Lo dejas igualmente?" sqref="D17:D316" xr:uid="{00000000-0002-0000-3D00-000001000000}">
      <formula1>"Joaquin,Matthew,Jorge,Flavia,Lucia,José"</formula1>
    </dataValidation>
    <dataValidation type="decimal" operator="greaterThanOrEqual" allowBlank="1" showErrorMessage="1" errorTitle="Tiempo" error="Escribe solo el número de minutos, por ejemplo 30." sqref="E17:F316" xr:uid="{00000000-0002-0000-3D00-000002000000}">
      <formula1>0</formula1>
    </dataValidation>
  </dataValidations>
  <hyperlinks>
    <hyperlink ref="F1" location="'Índice'!A1" tooltip="Volver al índice" xr:uid="{00000000-0004-0000-3D00-000000000000}"/>
  </hyperlinks>
  <pageMargins left="0.75" right="0.75" top="1" bottom="1" header="0.5" footer="0.5"/>
  <pageSetup fitToHeight="0"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2026-10-02T14:34:46Z</dcterms:created>
  <dcterms:modified xsi:type="dcterms:W3CDTF">2026-10-06T13:56:02Z</dcterms:modified>
  <cp:category/>
  <cp:contentStatus/>
</cp:coreProperties>
</file>